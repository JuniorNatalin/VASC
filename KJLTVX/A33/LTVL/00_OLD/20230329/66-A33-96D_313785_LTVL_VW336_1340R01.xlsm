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C05603B2-D250-4F8A-956D-D11CB00C3B7B}"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2_1340" sheetId="51" r:id="rId2"/>
    <sheet name="Materialliste" sheetId="21" r:id="rId3"/>
    <sheet name="Motordaten" sheetId="25" r:id="rId4"/>
  </sheets>
  <definedNames>
    <definedName name="_xlnm._FilterDatabase" localSheetId="1" hidden="1">'Punktplan LTVL_2_1340'!$M$19:$M$24</definedName>
    <definedName name="_xlnm.Print_Area" localSheetId="0">'Blatt 0'!$A$1:$AK$60</definedName>
    <definedName name="_xlnm.Print_Area" localSheetId="1">'Punktplan LTVL_2_1340'!$A$3:$AX$44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J22" i="51" s="1"/>
  <c r="Z22" i="51" s="1"/>
  <c r="BK22" i="51"/>
  <c r="BI22" i="51"/>
  <c r="BF22" i="51"/>
  <c r="BE22" i="51"/>
  <c r="U22" i="51" s="1"/>
  <c r="BD22" i="51"/>
  <c r="R22" i="51" s="1"/>
  <c r="AL22" i="51"/>
  <c r="AK22" i="51"/>
  <c r="AJ22" i="51"/>
  <c r="AI22" i="51"/>
  <c r="AG22" i="51"/>
  <c r="AF22" i="51"/>
  <c r="X22" i="51"/>
  <c r="BS21" i="51"/>
  <c r="BT21" i="51" s="1"/>
  <c r="BM21" i="51"/>
  <c r="BL21" i="51"/>
  <c r="BK21" i="5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BU24" i="51"/>
  <c r="BV24" i="51" s="1"/>
  <c r="AA34" i="51"/>
  <c r="BO26" i="51"/>
  <c r="BU29" i="51"/>
  <c r="BV29" i="51" s="1"/>
  <c r="BU23" i="51"/>
  <c r="BV23" i="51" s="1"/>
  <c r="BO24" i="51"/>
  <c r="BP34" i="51"/>
  <c r="BQ34" i="51"/>
  <c r="AB21" i="51" l="1"/>
  <c r="CC21" i="51" s="1"/>
  <c r="AH21" i="51" s="1"/>
  <c r="AB19" i="51"/>
  <c r="H35" i="51" s="1"/>
  <c r="CC20" i="51"/>
  <c r="AH20" i="51" s="1"/>
  <c r="CC29" i="51"/>
  <c r="CC27" i="51"/>
  <c r="CC26" i="51"/>
  <c r="BP33" i="51"/>
  <c r="BR33" i="51"/>
  <c r="BQ33" i="51"/>
  <c r="CG33" i="51" s="1"/>
  <c r="CC28" i="51"/>
  <c r="BP32" i="51"/>
  <c r="BR32" i="51"/>
  <c r="BQ32" i="51"/>
  <c r="CG32" i="51" s="1"/>
  <c r="CC33" i="5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CC22" i="51"/>
  <c r="AH22" i="51" s="1"/>
  <c r="BR23" i="51"/>
  <c r="BQ23" i="51"/>
  <c r="CG23" i="51" s="1"/>
  <c r="BP23" i="51"/>
  <c r="BR25" i="51"/>
  <c r="BQ25" i="51"/>
  <c r="CG25" i="51" s="1"/>
  <c r="BP25" i="51"/>
  <c r="CC23"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1" i="51" l="1"/>
  <c r="CG21" i="51" s="1"/>
  <c r="AE19" i="51"/>
  <c r="CG19" i="51" s="1"/>
  <c r="CC19" i="51"/>
  <c r="AH19" i="51" s="1"/>
  <c r="X37" i="51" s="1" a="1"/>
  <c r="X37" i="51" s="1"/>
  <c r="H36" i="51"/>
  <c r="O36" i="51" s="1"/>
  <c r="R36" i="51" s="1"/>
  <c r="O35" i="51"/>
  <c r="R35" i="51" s="1"/>
  <c r="O37" i="51"/>
  <c r="BD41" i="51" s="1"/>
  <c r="T37" i="51" s="1"/>
  <c r="BD40" i="51" l="1"/>
  <c r="T36" i="51" s="1"/>
  <c r="O38" i="51"/>
  <c r="BD37"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<sst xmlns="http://schemas.openxmlformats.org/spreadsheetml/2006/main" count="1776" uniqueCount="1675">
  <si>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</si>
  <si>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</si>
  <si>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</si>
  <si>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</si>
  <si>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</si>
  <si>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</si>
  <si>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</si>
  <si>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</si>
  <si>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</si>
  <si>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</si>
  <si>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</si>
  <si>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</si>
  <si>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</si>
  <si>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</si>
  <si>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</si>
  <si>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</si>
  <si>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</si>
  <si>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</si>
  <si>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</si>
  <si>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</si>
  <si>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</si>
  <si>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</si>
  <si>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</si>
  <si>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</si>
  <si>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</si>
  <si>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</si>
  <si>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</si>
  <si>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</si>
  <si>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</si>
  <si>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</si>
  <si>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</si>
  <si>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</si>
  <si>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</si>
  <si>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</si>
  <si>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</si>
  <si>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</si>
  <si>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</si>
  <si>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</si>
  <si>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</si>
  <si>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</si>
  <si>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</si>
  <si>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</si>
  <si>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</si>
  <si>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</si>
  <si>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</si>
  <si>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</si>
  <si>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</si>
  <si>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</si>
  <si>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</si>
  <si>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</si>
  <si>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</si>
  <si>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</si>
  <si>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</si>
  <si>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</si>
  <si>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</si>
  <si>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</si>
  <si>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</si>
  <si>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</si>
  <si>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</si>
  <si>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</si>
  <si>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</si>
  <si>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</si>
  <si>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</si>
  <si>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</si>
  <si>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</si>
  <si>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</si>
  <si>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</si>
  <si>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</si>
  <si>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</si>
  <si>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</si>
  <si>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</si>
  <si>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</si>
  <si>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</si>
  <si>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</si>
  <si>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</si>
  <si>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</si>
  <si>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</si>
  <si>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</si>
  <si>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</si>
  <si>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</si>
  <si>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</si>
  <si>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</si>
  <si>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</si>
  <si>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</si>
  <si>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</si>
  <si>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</si>
  <si>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</si>
  <si>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</si>
  <si>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</si>
  <si>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</si>
  <si>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</si>
  <si>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</si>
  <si>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</si>
  <si>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</si>
  <si>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</si>
  <si>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</si>
  <si>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</si>
  <si>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</si>
  <si>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</si>
  <si>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</si>
  <si>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</si>
  <si>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</si>
  <si>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</si>
  <si>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</si>
  <si>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</si>
  <si>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</si>
  <si>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</si>
  <si>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</si>
  <si>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</si>
  <si>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</si>
  <si>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</si>
  <si>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</si>
  <si>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</si>
  <si>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</si>
  <si>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</si>
  <si>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</si>
  <si>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</si>
  <si>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</si>
  <si>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</si>
  <si>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</si>
  <si>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</si>
  <si>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</si>
  <si>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</si>
  <si>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</si>
  <si>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</si>
  <si>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</si>
  <si>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</si>
  <si>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</si>
  <si>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</si>
  <si>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</si>
  <si>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</si>
  <si>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</si>
  <si>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</si>
  <si>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</si>
  <si>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</si>
  <si>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</si>
  <si>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</si>
  <si>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</si>
  <si>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</si>
  <si>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</si>
  <si>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</si>
  <si>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</si>
  <si>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</si>
  <si>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</si>
  <si>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</si>
  <si>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</si>
  <si>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</si>
  <si>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</si>
  <si>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</si>
  <si>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</si>
  <si>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</si>
  <si>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</si>
  <si>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</si>
  <si>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</si>
  <si>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</si>
  <si>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</si>
  <si>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</si>
  <si>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</si>
  <si>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</si>
  <si>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</si>
  <si>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</si>
  <si>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</si>
  <si>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</si>
  <si>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</si>
  <si>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</si>
  <si>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</si>
  <si>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</si>
  <si>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</si>
  <si>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</si>
  <si>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</si>
  <si>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</si>
  <si>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</si>
  <si>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</si>
  <si>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</si>
  <si>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</si>
  <si>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</si>
  <si>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</si>
  <si>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</si>
  <si>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</si>
  <si>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</si>
  <si>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</si>
  <si>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</si>
  <si>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</si>
  <si>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</si>
  <si>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</si>
  <si>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</si>
  <si>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</si>
  <si>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</si>
  <si>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</si>
  <si>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</si>
  <si>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</si>
  <si>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</si>
  <si>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</si>
  <si>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</si>
  <si>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</si>
  <si>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</si>
  <si>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</si>
  <si>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</si>
  <si>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</si>
  <si>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</si>
  <si>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</si>
  <si>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</si>
  <si>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</si>
  <si>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</si>
  <si>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</si>
  <si>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</si>
  <si>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</si>
  <si>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</si>
  <si>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</si>
  <si>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</si>
  <si>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</si>
  <si>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</si>
  <si>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</si>
  <si>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</si>
  <si>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</si>
  <si>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</si>
  <si>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</si>
  <si>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</si>
  <si>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</si>
  <si>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</si>
  <si>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</si>
  <si>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</si>
  <si>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</si>
  <si>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</si>
  <si>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</si>
  <si>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</si>
  <si>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</si>
  <si>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</si>
  <si>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</si>
  <si>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</si>
  <si>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</si>
  <si>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</si>
  <si>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</si>
  <si>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</si>
  <si>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</si>
  <si>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</si>
  <si>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</si>
  <si>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</si>
  <si>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</si>
  <si>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</si>
  <si>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</si>
  <si>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</si>
  <si>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</si>
  <si>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</si>
  <si>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</si>
  <si>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</si>
  <si>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</si>
  <si>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</si>
  <si>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</si>
  <si>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</si>
  <si>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</si>
  <si>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</si>
  <si>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</si>
  <si>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</si>
  <si>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</si>
  <si>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</si>
  <si>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</si>
  <si>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</si>
  <si>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</si>
  <si>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</si>
  <si>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</si>
  <si>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</si>
  <si>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</si>
  <si>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</si>
  <si>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</si>
  <si>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</si>
  <si>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</si>
  <si>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</si>
  <si>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</si>
  <si>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</si>
  <si>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</si>
  <si>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</si>
  <si>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</si>
  <si>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</si>
  <si>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</si>
  <si>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</si>
  <si>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</si>
  <si>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</si>
  <si>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</si>
  <si>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</si>
  <si>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</si>
  <si>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</si>
  <si>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</si>
  <si>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</si>
  <si>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</si>
  <si>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</si>
  <si>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</si>
  <si>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</si>
  <si>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</si>
  <si>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</si>
  <si>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</si>
  <si>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</si>
  <si>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</si>
  <si>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</si>
  <si>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</si>
  <si>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</si>
  <si>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</si>
  <si>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</si>
  <si>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</si>
  <si>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</si>
  <si>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</si>
  <si>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</si>
  <si>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</si>
  <si>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</si>
  <si>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</si>
  <si>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</si>
  <si>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</si>
  <si>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</si>
  <si>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</si>
  <si>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</si>
  <si>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</si>
  <si>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</si>
  <si>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</si>
  <si>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</si>
  <si>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</si>
  <si>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</si>
  <si>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</si>
  <si>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</si>
  <si>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</si>
  <si>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</si>
  <si>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</si>
  <si>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</si>
  <si>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</si>
  <si>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</si>
  <si>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</si>
  <si>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</si>
  <si>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</si>
  <si>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</si>
  <si>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</si>
  <si>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</si>
  <si>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</si>
  <si>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</si>
  <si>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</si>
  <si>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</si>
  <si>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</si>
  <si>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</si>
  <si>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</si>
  <si>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</si>
  <si>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</si>
  <si>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</si>
  <si>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</si>
  <si>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</si>
  <si>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</si>
  <si>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</si>
  <si>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</si>
  <si>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</si>
  <si>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</si>
  <si>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</si>
  <si>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</si>
  <si>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</si>
  <si>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</si>
  <si>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</si>
  <si>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</si>
  <si>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</si>
  <si>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</si>
  <si>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</si>
  <si>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</si>
  <si>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</si>
  <si>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</si>
  <si>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</si>
  <si>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</si>
  <si>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</si>
  <si>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</si>
  <si>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</si>
  <si>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</si>
  <si>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</si>
  <si>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</si>
  <si>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</si>
  <si>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</si>
  <si>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</si>
  <si>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</si>
  <si>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</si>
  <si>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</si>
  <si>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</si>
  <si>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</si>
  <si>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</si>
  <si>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</si>
  <si>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</si>
  <si>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</si>
  <si>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</si>
  <si>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</si>
  <si>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</si>
  <si>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</si>
  <si>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</si>
  <si>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</si>
  <si>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</si>
  <si>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</si>
  <si>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</si>
  <si>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</si>
  <si>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</si>
  <si>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</si>
  <si>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</si>
  <si>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</si>
  <si>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</si>
  <si>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</si>
  <si>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</si>
  <si>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</si>
  <si>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</si>
  <si>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</si>
  <si>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</si>
  <si>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</si>
  <si>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</si>
  <si>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</si>
  <si>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</si>
  <si>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</si>
  <si>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</si>
  <si>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</si>
  <si>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</si>
  <si>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</si>
  <si>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</si>
  <si>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</si>
  <si>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</si>
  <si>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</si>
  <si>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</si>
  <si>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</si>
  <si>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</si>
  <si>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</si>
  <si>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</si>
  <si>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</si>
  <si>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</si>
  <si>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</si>
  <si>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</si>
  <si>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</si>
  <si>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</si>
  <si>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</si>
  <si>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</si>
  <si>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</si>
  <si>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</si>
  <si>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</si>
  <si>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</si>
  <si>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</si>
  <si>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</si>
  <si>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</si>
  <si>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</si>
  <si>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</si>
  <si>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</si>
  <si>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</si>
  <si>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</si>
  <si>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</si>
  <si>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</si>
  <si>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</si>
  <si>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</si>
  <si>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</si>
  <si>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</si>
  <si>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</si>
  <si>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</si>
  <si>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</si>
  <si>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</si>
  <si>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</si>
  <si>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</si>
  <si>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</si>
  <si>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</si>
  <si>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</si>
  <si>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</si>
  <si>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</si>
  <si>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</si>
  <si>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</si>
  <si>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</si>
  <si>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</si>
  <si>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</si>
  <si>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</si>
  <si>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</si>
  <si>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</si>
  <si>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</si>
  <si>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</si>
  <si>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</si>
  <si>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</si>
  <si>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</si>
  <si>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</si>
  <si>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</si>
  <si>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</si>
  <si>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</si>
  <si>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</si>
  <si>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</si>
  <si>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</si>
  <si>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</si>
  <si>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</si>
  <si>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</si>
  <si>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</si>
  <si>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</si>
  <si>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</si>
  <si>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</si>
  <si>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</si>
  <si>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</si>
  <si>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</si>
  <si>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</si>
  <si>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</si>
  <si>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</si>
  <si>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</si>
  <si>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</si>
  <si>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</si>
  <si>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</si>
  <si>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</si>
  <si>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</si>
  <si>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</si>
  <si>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</si>
  <si>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</si>
  <si>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</si>
  <si>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</si>
  <si>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</si>
  <si>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</si>
  <si>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</si>
  <si>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</si>
  <si>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</si>
  <si>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</si>
  <si>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</si>
  <si>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</si>
  <si>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</si>
  <si>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</si>
  <si>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</si>
  <si>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</si>
  <si>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</si>
  <si>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</si>
  <si>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</si>
  <si>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</si>
  <si>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</si>
  <si>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</si>
  <si>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</si>
  <si>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</si>
  <si>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</si>
  <si>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</si>
  <si>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</si>
  <si>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</si>
  <si>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</si>
  <si>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</si>
  <si>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</si>
  <si>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</si>
  <si>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</si>
  <si>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</si>
  <si>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</si>
  <si>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</si>
  <si>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</si>
  <si>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</si>
  <si>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</si>
  <si>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</si>
  <si>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</si>
  <si>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</si>
  <si>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</si>
  <si>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</si>
  <si>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</si>
  <si>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</si>
  <si>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</si>
  <si>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</si>
  <si>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</si>
  <si>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</si>
  <si>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</si>
  <si>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</si>
  <si>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</si>
  <si>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</si>
  <si>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</si>
  <si>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</si>
  <si>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</si>
  <si>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</si>
  <si>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</si>
  <si>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</si>
  <si>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</si>
  <si>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</si>
  <si>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</si>
  <si>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</si>
  <si>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</si>
  <si>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</si>
  <si>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</si>
  <si>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</si>
  <si>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</si>
  <si>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</si>
  <si>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</si>
  <si>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</si>
  <si>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</si>
  <si>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</si>
  <si>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</si>
  <si>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</si>
  <si>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</si>
  <si>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</si>
  <si>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</si>
  <si>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</si>
  <si>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</si>
  <si>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</si>
  <si>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</si>
  <si>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</si>
  <si>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</si>
  <si>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</si>
  <si>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</si>
  <si>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</si>
  <si>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</si>
  <si>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</si>
  <si>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</si>
  <si>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</si>
  <si>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</si>
  <si>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</si>
  <si>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</si>
  <si>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</si>
  <si>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</si>
  <si>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</si>
  <si>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</si>
  <si>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</si>
  <si>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</si>
  <si>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</si>
  <si>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</si>
  <si>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</si>
  <si>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</si>
  <si>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</si>
  <si>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</si>
  <si>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</si>
  <si>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</si>
  <si>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</si>
  <si>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</si>
  <si>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</si>
  <si>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</si>
  <si>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</si>
  <si>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</si>
  <si>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</si>
  <si>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</si>
  <si>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</si>
  <si>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</si>
  <si>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</si>
  <si>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</si>
  <si>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</si>
  <si>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</si>
  <si>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</si>
  <si>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</si>
  <si>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</si>
  <si>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</si>
  <si>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</si>
  <si>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</si>
  <si>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</si>
  <si>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</si>
  <si>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</si>
  <si>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</si>
  <si>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</si>
  <si>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</si>
  <si>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</si>
  <si>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</si>
  <si>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</si>
  <si>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</si>
  <si>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</si>
  <si>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</si>
  <si>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</si>
  <si>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</si>
  <si>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</si>
  <si>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</si>
  <si>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</si>
  <si>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</si>
  <si>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</si>
  <si>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</si>
  <si>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</si>
  <si>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</si>
  <si>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</si>
  <si>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</si>
  <si>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</si>
  <si>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</si>
  <si>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</si>
  <si>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</si>
  <si>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</si>
  <si>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</si>
  <si>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</si>
  <si>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</si>
  <si>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</si>
  <si>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</si>
  <si>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</si>
  <si>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</si>
  <si>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</si>
  <si>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</si>
  <si>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</si>
  <si>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</si>
  <si>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</si>
  <si>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</si>
  <si>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</si>
  <si>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</si>
  <si>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</si>
  <si>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</si>
  <si>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</si>
  <si>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</si>
  <si>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</si>
  <si>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</si>
  <si>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</si>
  <si>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</si>
  <si>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</si>
  <si>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</si>
  <si>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</si>
  <si>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</si>
  <si>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</si>
  <si>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</si>
  <si>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</si>
  <si>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</si>
  <si>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</si>
  <si>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</si>
  <si>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</si>
  <si>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</si>
  <si>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</si>
  <si>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</si>
  <si>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</si>
  <si>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</si>
  <si>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</si>
  <si>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</si>
  <si>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</si>
  <si>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</si>
  <si>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</si>
  <si>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</si>
  <si>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</si>
  <si>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</si>
  <si>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</si>
  <si>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</si>
  <si>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</si>
  <si>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</si>
  <si>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</si>
  <si>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</si>
  <si>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</si>
  <si>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</si>
  <si>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</si>
  <si>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</si>
  <si>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</si>
  <si>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</si>
  <si>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</si>
  <si>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</si>
  <si>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</si>
  <si>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</si>
  <si>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</si>
  <si>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</si>
  <si>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</si>
  <si>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</si>
  <si>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</si>
  <si>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</si>
  <si>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</si>
  <si>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</si>
  <si>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</si>
  <si>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</si>
  <si>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</si>
  <si>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</si>
  <si>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</si>
  <si>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</si>
  <si>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</si>
  <si>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</si>
  <si>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</si>
  <si>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</si>
  <si>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</si>
  <si>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</si>
  <si>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</si>
  <si>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</si>
  <si>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</si>
  <si>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</si>
  <si>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</si>
  <si>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</si>
  <si>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</si>
  <si>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</si>
  <si>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</si>
  <si>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</si>
  <si>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</si>
  <si>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</si>
  <si>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</si>
  <si>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</si>
  <si>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</si>
  <si>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</si>
  <si>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</si>
  <si>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</si>
  <si>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</si>
  <si>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</si>
  <si>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</si>
  <si>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</si>
  <si>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</si>
  <si>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</si>
  <si>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</si>
  <si>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</si>
  <si>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</si>
  <si>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</si>
  <si>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</si>
  <si>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</si>
  <si>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</si>
  <si>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</si>
  <si>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</si>
  <si>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</si>
  <si>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</si>
  <si>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</si>
  <si>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</si>
  <si>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</si>
  <si>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</si>
  <si>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</si>
  <si>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</si>
  <si>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</si>
  <si>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</si>
  <si>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</si>
  <si>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</si>
  <si>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</si>
  <si>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</si>
  <si>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</si>
  <si>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</si>
  <si>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</si>
  <si>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</si>
  <si>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</si>
  <si>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</si>
  <si>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</si>
  <si>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</si>
  <si>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</si>
  <si>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</si>
  <si>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</si>
  <si>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</si>
  <si>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</si>
  <si>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</si>
  <si>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</si>
  <si>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</si>
  <si>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</si>
  <si>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</si>
  <si>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</si>
  <si>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</si>
  <si>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</si>
  <si>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</si>
  <si>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</si>
  <si>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</si>
  <si>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</si>
  <si>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</si>
  <si>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</si>
  <si>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</si>
  <si>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</si>
  <si>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</si>
  <si>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</si>
  <si>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</si>
  <si>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</si>
  <si>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</si>
  <si>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</si>
  <si>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</si>
  <si>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</si>
  <si>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</si>
  <si>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</si>
  <si>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</si>
  <si>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</si>
  <si>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</si>
  <si>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</si>
  <si>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</si>
  <si>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</si>
  <si>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</si>
  <si>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</si>
  <si>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</si>
  <si>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</si>
  <si>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</si>
  <si>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</si>
  <si>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</si>
  <si>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</si>
  <si>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</si>
  <si>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</si>
  <si>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</si>
  <si>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</si>
  <si>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</si>
  <si>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</si>
  <si>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</si>
  <si>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</si>
  <si>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</si>
  <si>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</si>
  <si>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</si>
  <si>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</si>
  <si>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</si>
  <si>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</si>
  <si>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</si>
  <si>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</si>
  <si>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</si>
  <si>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</si>
  <si>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</si>
  <si>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</si>
  <si>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</si>
  <si>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</si>
  <si>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</si>
  <si>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</si>
  <si>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</si>
  <si>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</si>
  <si>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</si>
  <si>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</si>
  <si>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</si>
  <si>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</si>
  <si>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</si>
  <si>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</si>
  <si>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</si>
  <si>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</si>
  <si>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</si>
  <si>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</si>
  <si>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</si>
  <si>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</si>
  <si>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</si>
  <si>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</si>
  <si>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</si>
  <si>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</si>
  <si>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</si>
  <si>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</si>
  <si>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</si>
  <si>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</si>
  <si>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</si>
  <si>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</si>
  <si>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</si>
  <si>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</si>
  <si>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</si>
  <si>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</si>
  <si>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</si>
  <si>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</si>
  <si>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</si>
  <si>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</si>
  <si>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</si>
  <si>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</si>
  <si>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</si>
  <si>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</si>
  <si>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</si>
  <si>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</si>
  <si>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</si>
  <si>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</si>
  <si>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</si>
  <si>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</si>
  <si>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</si>
  <si>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</si>
  <si>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</si>
  <si>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</si>
  <si>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</si>
  <si>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</si>
  <si>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</si>
  <si>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</si>
  <si>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</si>
  <si>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</si>
  <si>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</si>
  <si>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</si>
  <si>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</si>
  <si>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</si>
  <si>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</si>
  <si>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</si>
  <si>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</si>
  <si>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</si>
  <si>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</si>
  <si>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</si>
  <si>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</si>
  <si>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</si>
  <si>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</si>
  <si>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</si>
  <si>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</si>
  <si>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</si>
  <si>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</si>
  <si>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</si>
  <si>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</si>
  <si>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</si>
  <si>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</si>
  <si>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</si>
  <si>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</si>
  <si>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</si>
  <si>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</si>
  <si>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</si>
  <si>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</si>
  <si>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</si>
  <si>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</si>
  <si>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</si>
  <si>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</si>
  <si>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</si>
  <si>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</si>
  <si>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</si>
  <si>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</si>
  <si>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</si>
  <si>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</si>
  <si>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</si>
  <si>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</si>
  <si>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</si>
  <si>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</si>
  <si>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</si>
  <si>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</si>
  <si>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</si>
  <si>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</si>
  <si>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</si>
  <si>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</si>
  <si>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</si>
  <si>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</si>
  <si>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</si>
  <si>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</si>
  <si>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</si>
  <si>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</si>
  <si>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</si>
  <si>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</si>
  <si>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</si>
  <si>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</si>
  <si>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</si>
  <si>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</si>
  <si>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</si>
  <si>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</si>
  <si>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</si>
  <si>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</si>
  <si>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</si>
  <si>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</si>
  <si>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</si>
  <si>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</si>
  <si>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</si>
  <si>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</si>
  <si>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</si>
  <si>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</si>
  <si>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</si>
  <si>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</si>
  <si>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</si>
  <si>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</si>
  <si>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</si>
  <si>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</si>
  <si>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</si>
  <si>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</si>
  <si>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</si>
  <si>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</si>
  <si>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</si>
  <si>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</si>
  <si>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</si>
  <si>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</si>
  <si>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</si>
  <si>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</si>
  <si>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</si>
  <si>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</si>
  <si>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</si>
  <si>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</si>
  <si>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</si>
  <si>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</si>
  <si>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</si>
  <si>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</si>
  <si>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</si>
  <si>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</si>
  <si>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</si>
  <si>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</si>
  <si>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</si>
  <si>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</si>
  <si>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</si>
  <si>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</si>
  <si>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</si>
  <si>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</si>
  <si>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</si>
  <si>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</si>
  <si>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</si>
  <si>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</si>
  <si>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</si>
  <si>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</si>
  <si>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</si>
  <si>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</si>
  <si>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</si>
  <si>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</si>
  <si>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</si>
  <si>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</si>
  <si>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</si>
  <si>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</si>
  <si>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</si>
  <si>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</si>
  <si>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</si>
  <si>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</si>
  <si>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</si>
  <si>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</si>
  <si>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</si>
  <si>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</si>
  <si>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</si>
  <si>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</si>
  <si>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</si>
  <si>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</si>
  <si>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</si>
  <si>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</si>
  <si>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</si>
  <si>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</si>
  <si>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</si>
  <si>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</si>
  <si>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</si>
  <si>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</si>
  <si>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</si>
  <si>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</si>
  <si>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</si>
  <si>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</si>
  <si>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</si>
  <si>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</si>
  <si>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</si>
  <si>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</si>
  <si>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</si>
  <si>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</si>
  <si>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</si>
  <si>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</si>
  <si>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</si>
  <si>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</si>
  <si>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</si>
  <si>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</si>
  <si>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</si>
  <si>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</si>
  <si>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</si>
  <si>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</si>
  <si>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</si>
  <si>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</si>
  <si>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</si>
  <si>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</si>
  <si>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</si>
  <si>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</si>
  <si>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</si>
  <si>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</si>
  <si>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</si>
  <si>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</si>
  <si>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</si>
  <si>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</si>
  <si>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</si>
  <si>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</si>
  <si>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</si>
  <si>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</si>
  <si>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</si>
  <si>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</si>
  <si>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</si>
  <si>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</si>
  <si>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</si>
  <si>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</si>
  <si>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</si>
  <si>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</si>
  <si>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</si>
  <si>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</si>
  <si>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</si>
  <si>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</si>
  <si>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</si>
  <si>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</si>
  <si>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</si>
  <si>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</si>
  <si>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</si>
  <si>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</si>
  <si>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</si>
  <si>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</si>
  <si>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</si>
  <si>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</si>
  <si>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</si>
  <si>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</si>
  <si>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</si>
  <si>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</si>
  <si>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</si>
  <si>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</si>
  <si>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</si>
  <si>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</si>
  <si>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</si>
  <si>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</si>
  <si>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</si>
  <si>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</si>
  <si>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</si>
  <si>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</si>
  <si>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</si>
  <si>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</si>
  <si>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</si>
  <si>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</si>
  <si>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</si>
  <si>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</si>
  <si>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</si>
  <si>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</si>
  <si>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</si>
  <si>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</si>
  <si>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</si>
  <si>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</si>
  <si>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</si>
  <si>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</si>
  <si>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</si>
  <si>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</si>
  <si>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</si>
  <si>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</si>
  <si>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</si>
  <si>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</si>
  <si>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</si>
  <si>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</si>
  <si>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</si>
  <si>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</si>
  <si>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</si>
  <si>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</si>
  <si>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</si>
  <si>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</si>
  <si>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</si>
  <si>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</si>
  <si>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</si>
  <si>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</si>
  <si>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</si>
  <si>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</si>
  <si>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</si>
  <si>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</si>
  <si>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</si>
  <si>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</si>
  <si>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</si>
  <si>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</si>
  <si>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</si>
  <si>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</si>
  <si>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</si>
  <si>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</si>
  <si>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</si>
  <si>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</si>
  <si>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</si>
  <si>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</si>
  <si>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</si>
  <si>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</si>
  <si>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</si>
  <si>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</si>
  <si>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</si>
  <si>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</si>
  <si>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</si>
  <si>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</si>
  <si>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</si>
  <si>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</si>
  <si>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</si>
  <si>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</si>
  <si>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</si>
  <si>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</si>
  <si>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</si>
  <si>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</si>
  <si>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</si>
  <si>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</si>
  <si>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</si>
  <si>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</si>
  <si>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</si>
  <si>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</si>
  <si>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</si>
  <si>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</si>
  <si>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</si>
  <si>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</si>
  <si>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</si>
  <si>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</si>
  <si>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</si>
  <si>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</si>
  <si>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</si>
  <si>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</si>
  <si>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</si>
  <si>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</si>
  <si>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</si>
  <si>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</si>
  <si>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</si>
  <si>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</si>
  <si>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</si>
  <si>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</si>
  <si>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</si>
  <si>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</si>
  <si>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</si>
  <si>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</si>
  <si>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</si>
  <si>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</si>
  <si>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</si>
  <si>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</si>
  <si>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</si>
  <si>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</si>
  <si>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</si>
  <si>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</si>
  <si>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</si>
  <si>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</si>
  <si>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</si>
  <si>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</si>
  <si>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</si>
  <si>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</si>
  <si>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</si>
  <si>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</si>
  <si>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</si>
  <si>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</si>
  <si>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</si>
  <si>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</si>
  <si>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</si>
  <si>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</si>
  <si>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</si>
  <si>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</si>
  <si>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</si>
  <si>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</si>
  <si>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</si>
  <si>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</si>
  <si>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</si>
  <si>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</si>
  <si>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</si>
  <si>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</si>
  <si>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</si>
  <si>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</si>
  <si>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</si>
  <si>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</si>
  <si>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</si>
  <si>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</si>
  <si>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</si>
  <si>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</si>
  <si>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</si>
  <si>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</si>
  <si>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</si>
  <si>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</si>
  <si>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</si>
  <si>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</si>
  <si>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</si>
  <si>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</si>
  <si>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</si>
  <si>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</si>
  <si>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</si>
  <si>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</si>
  <si>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</si>
  <si>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</si>
  <si>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</si>
  <si>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</si>
  <si>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</si>
  <si>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</si>
  <si>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</si>
  <si>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</si>
  <si>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</si>
  <si>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</si>
  <si>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</si>
  <si>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</si>
  <si>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</si>
  <si>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</si>
  <si>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</si>
  <si>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</si>
  <si>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</si>
  <si>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</si>
  <si>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</si>
  <si>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</si>
  <si>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</si>
  <si>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</si>
  <si>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</si>
  <si>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</si>
  <si>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</si>
  <si>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</si>
  <si>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</si>
  <si>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</si>
  <si>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</si>
  <si>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</si>
  <si>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</si>
  <si>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</si>
  <si>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</si>
  <si>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</si>
  <si>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</si>
  <si>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</si>
  <si>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</si>
  <si>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</si>
  <si>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</si>
  <si>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</si>
  <si>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</si>
  <si>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</si>
  <si>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</si>
  <si>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</si>
  <si>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</si>
  <si>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</si>
  <si>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</si>
  <si>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</si>
  <si>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</si>
  <si>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</si>
  <si>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</si>
  <si>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</si>
  <si>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</si>
  <si>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</si>
  <si>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</si>
  <si>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</si>
  <si>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</si>
  <si>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</si>
  <si>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</si>
  <si>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</si>
  <si>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</si>
  <si>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</si>
  <si>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</si>
  <si>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</si>
  <si>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</si>
  <si>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</si>
  <si>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</si>
  <si>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</si>
  <si>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</si>
  <si>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</si>
  <si>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</si>
  <si>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</si>
  <si>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</si>
  <si>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</si>
  <si>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</si>
  <si>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</si>
  <si>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</si>
  <si>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</si>
  <si>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</si>
  <si>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</si>
  <si>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</si>
  <si>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</si>
  <si>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</si>
  <si>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</si>
  <si>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</si>
  <si>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</si>
  <si>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</si>
  <si>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</si>
  <si>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</si>
  <si>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</si>
  <si>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</si>
  <si>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</si>
  <si>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</si>
  <si>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</si>
  <si>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</si>
  <si>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</si>
  <si>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</si>
  <si>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</si>
  <si>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</si>
  <si>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</si>
  <si>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</si>
  <si>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</si>
  <si>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</si>
  <si>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</si>
  <si>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</si>
  <si>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</si>
  <si>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</si>
  <si>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</si>
  <si>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</si>
  <si>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</si>
  <si>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</si>
  <si>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</si>
  <si>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</si>
  <si>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</si>
  <si>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</si>
  <si>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</si>
  <si>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</si>
  <si>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</si>
  <si>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</si>
  <si>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</si>
  <si>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</si>
  <si>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</si>
  <si>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</si>
  <si>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</si>
  <si>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</si>
  <si>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</si>
  <si>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</si>
  <si>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</si>
  <si>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</si>
  <si>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</si>
  <si>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</si>
  <si>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</si>
  <si>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</si>
  <si>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</si>
  <si>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</si>
  <si>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</si>
  <si>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</si>
  <si>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</si>
  <si>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</si>
  <si>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</si>
  <si>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</si>
  <si>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</si>
  <si>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</si>
  <si>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</si>
  <si>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</si>
  <si>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</si>
  <si>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</si>
  <si>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</si>
  <si>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</si>
  <si>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</si>
  <si>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</si>
  <si>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</si>
  <si>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</si>
  <si>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</si>
  <si>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</si>
  <si>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</si>
  <si>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</si>
  <si>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</si>
  <si>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</si>
  <si>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</si>
  <si>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</si>
  <si>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</si>
  <si>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</si>
  <si>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</si>
  <si>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</si>
  <si>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</si>
  <si>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</si>
  <si>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</si>
  <si>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</si>
  <si>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</si>
  <si>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</si>
  <si>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</si>
  <si>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</si>
  <si>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</si>
  <si>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</si>
  <si>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</si>
  <si>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</si>
  <si>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</si>
  <si>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</si>
  <si>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</si>
  <si>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</si>
  <si>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</si>
  <si>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</si>
  <si>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</si>
  <si>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</si>
  <si>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</si>
  <si>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</si>
  <si>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</si>
  <si>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</si>
  <si>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</si>
  <si>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</si>
  <si>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</si>
  <si>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</si>
  <si>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</si>
  <si>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</si>
  <si>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</si>
  <si>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</si>
  <si>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</si>
  <si>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</si>
  <si>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</si>
  <si>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</si>
  <si>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</si>
  <si>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</si>
  <si>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</si>
  <si>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</si>
  <si>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</si>
  <si>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</si>
  <si>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</si>
  <si>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</si>
  <si>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</si>
  <si>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</si>
  <si>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</si>
  <si>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</si>
  <si>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</si>
  <si>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</si>
  <si>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</si>
  <si>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</si>
  <si>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</si>
  <si>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</si>
  <si>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</si>
  <si>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</si>
  <si>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</si>
  <si>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</si>
  <si>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</si>
  <si>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</si>
  <si>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</si>
  <si>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</si>
  <si>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</si>
  <si>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</si>
  <si>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</si>
  <si>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</si>
  <si>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</si>
  <si>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</si>
  <si>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</si>
  <si>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</si>
  <si>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</si>
  <si>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</si>
  <si>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</si>
  <si>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</si>
  <si>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</si>
  <si>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</si>
  <si>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</si>
  <si>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</si>
  <si>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</si>
  <si>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</si>
  <si>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</si>
  <si>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</si>
  <si>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</si>
  <si>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</si>
  <si>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</si>
  <si>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</si>
  <si>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</si>
  <si>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</si>
  <si>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</si>
  <si>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</si>
  <si>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</si>
  <si>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</si>
  <si>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</si>
  <si>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</si>
  <si>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</si>
  <si>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</si>
  <si>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</si>
  <si>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</si>
  <si>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</si>
  <si>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</si>
  <si>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</si>
  <si>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</si>
  <si>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</si>
  <si>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</si>
  <si>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</si>
  <si>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</si>
  <si>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</si>
  <si>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</si>
  <si>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</si>
  <si>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</si>
  <si>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</si>
  <si>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</si>
  <si>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</si>
  <si>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</si>
  <si>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</si>
  <si>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</si>
  <si>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</si>
  <si>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</si>
  <si>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</si>
  <si>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</si>
  <si>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</si>
  <si>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</si>
  <si>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</si>
  <si>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</si>
  <si>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</si>
  <si>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</si>
  <si>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</si>
  <si>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</si>
  <si>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</si>
  <si>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</si>
  <si>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</si>
  <si>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</si>
  <si>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</si>
  <si>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</si>
  <si>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</si>
  <si>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</si>
  <si>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</si>
  <si>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</si>
  <si>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</si>
  <si>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</si>
  <si>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</si>
  <si>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</si>
  <si>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</si>
  <si>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</si>
  <si>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</si>
  <si>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</si>
  <si>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</si>
  <si>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</si>
  <si>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</si>
  <si>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</si>
  <si>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</si>
  <si>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</si>
  <si>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</si>
  <si>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</si>
  <si>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</si>
  <si>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</si>
  <si>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</si>
  <si>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</si>
  <si>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</si>
  <si>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</si>
  <si>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</si>
  <si>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</si>
  <si>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</si>
  <si>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</si>
  <si>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</si>
  <si>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</si>
  <si>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</si>
  <si>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</si>
  <si>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</si>
  <si>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</si>
  <si>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</si>
  <si>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</si>
  <si>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</si>
  <si>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</si>
  <si>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</si>
  <si>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</si>
  <si>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</si>
  <si>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</si>
  <si>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</si>
  <si>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</si>
  <si>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</si>
  <si>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</si>
  <si>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</si>
  <si>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</si>
  <si>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</si>
  <si>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</si>
  <si>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</si>
  <si>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</si>
  <si>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</si>
  <si>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</si>
  <si>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</si>
  <si>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</si>
  <si>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</si>
  <si>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</si>
  <si>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</si>
  <si>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</si>
  <si>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</si>
  <si>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</si>
  <si>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</si>
  <si>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</si>
  <si>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</si>
  <si>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</si>
  <si>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</si>
  <si>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</si>
  <si>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</si>
  <si>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</si>
  <si>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</si>
  <si>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</si>
  <si>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</si>
  <si>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</si>
  <si>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</si>
  <si>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</si>
  <si>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</si>
  <si>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</si>
  <si>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</si>
  <si>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</si>
  <si>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</si>
  <si>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</si>
  <si>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</si>
  <si>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</si>
  <si>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</si>
  <si>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</si>
  <si>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</si>
  <si>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</si>
  <si>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</si>
  <si>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</si>
  <si>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</si>
  <si>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C</t>
  </si>
  <si>
    <t xml:space="preserve"> </t>
  </si>
  <si>
    <t>5QA.804.429</t>
  </si>
  <si>
    <t>5qa802035b_007_gps0002_L</t>
  </si>
  <si>
    <t>5qa802035b_035_akps0002_L</t>
  </si>
  <si>
    <t>5qa802035b_031_afps0001_L</t>
  </si>
  <si>
    <t>5qa802035b_011_lps0008_L</t>
  </si>
  <si>
    <t>5Q0.810.063</t>
  </si>
  <si>
    <t>5Q0.804.131</t>
  </si>
  <si>
    <t>5QA.803.773</t>
  </si>
  <si>
    <t>66-59D381004</t>
  </si>
  <si>
    <t>KJLTVL211340R01</t>
  </si>
  <si>
    <t>KJLTVL211340</t>
  </si>
  <si>
    <t>5QA.803.105</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</si>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</sst>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2">
    <font>
      <sz val="10"/>
      <name val="Arial"/>
    </font>
    <font>
      <sz val="11"/>
      <color theme="1"/>
      <name val="Calibri"/>
      <family val="2"/>
      <scheme val="minor"/>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2">
    <xf numFmtId="0" fontId="0" fillId="0" borderId="0"/>
    <xf numFmtId="0" fontId="18" fillId="0" borderId="0" applyNumberFormat="0" applyFont="0" applyFill="0" applyBorder="0" applyAlignment="0" applyProtection="0">
      <alignment horizontal="left" vertical="top" wrapText="1"/>
      <protection locked="0"/>
    </xf>
    <xf numFmtId="165" fontId="4" fillId="0" borderId="0" applyFont="0" applyFill="0" applyBorder="0" applyAlignment="0" applyProtection="0"/>
    <xf numFmtId="0" fontId="18" fillId="0" borderId="0" applyNumberFormat="0" applyFont="0" applyFill="0" applyBorder="0" applyAlignment="0" applyProtection="0">
      <alignment horizontal="left" vertical="top" wrapText="1"/>
      <protection locked="0"/>
    </xf>
    <xf numFmtId="164" fontId="4" fillId="0" borderId="0" applyFont="0" applyFill="0" applyBorder="0" applyAlignment="0" applyProtection="0"/>
    <xf numFmtId="0" fontId="18" fillId="0" borderId="0" applyNumberFormat="0" applyFont="0" applyFill="0" applyBorder="0" applyProtection="0">
      <alignment horizontal="center" vertical="center" wrapText="1"/>
      <protection locked="0"/>
    </xf>
    <xf numFmtId="0" fontId="18" fillId="2" borderId="0" applyNumberFormat="0" applyFont="0" applyBorder="0" applyAlignment="0" applyProtection="0">
      <alignment horizontal="left" vertical="top" wrapText="1"/>
      <protection locked="0"/>
    </xf>
    <xf numFmtId="0" fontId="18" fillId="2" borderId="0" applyNumberFormat="0" applyFont="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29" fillId="0" borderId="0" applyNumberFormat="0" applyFont="0" applyFill="0" applyBorder="0" applyAlignment="0" applyProtection="0">
      <alignment horizontal="left" vertical="top" wrapText="1"/>
      <protection locked="0"/>
    </xf>
    <xf numFmtId="0" fontId="17" fillId="0" borderId="0"/>
    <xf numFmtId="0" fontId="33" fillId="0" borderId="0"/>
    <xf numFmtId="0" fontId="4" fillId="0" borderId="0"/>
    <xf numFmtId="0" fontId="4" fillId="0" borderId="0"/>
    <xf numFmtId="0" fontId="17" fillId="0" borderId="0"/>
    <xf numFmtId="0" fontId="17" fillId="0" borderId="0"/>
    <xf numFmtId="0" fontId="17" fillId="0" borderId="0"/>
    <xf numFmtId="0" fontId="17" fillId="0" borderId="0"/>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43" fillId="0" borderId="0" applyNumberFormat="0" applyFill="0" applyBorder="0" applyAlignment="0" applyProtection="0"/>
    <xf numFmtId="0" fontId="64" fillId="17" borderId="0" applyNumberFormat="0" applyBorder="0" applyAlignment="0" applyProtection="0"/>
    <xf numFmtId="0" fontId="74" fillId="0" borderId="0"/>
    <xf numFmtId="0" fontId="75" fillId="0" borderId="0" applyNumberFormat="0" applyFill="0" applyBorder="0" applyAlignment="0" applyProtection="0">
      <alignment horizontal="left" vertical="top" wrapText="1"/>
      <protection locked="0"/>
    </xf>
    <xf numFmtId="0" fontId="4"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23" borderId="0" applyNumberFormat="0" applyBorder="0" applyAlignment="0" applyProtection="0"/>
    <xf numFmtId="0" fontId="2" fillId="23" borderId="0" applyNumberFormat="0" applyBorder="0" applyAlignment="0" applyProtection="0"/>
    <xf numFmtId="0" fontId="97" fillId="46"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97" fillId="46" borderId="0" applyNumberFormat="0" applyBorder="0" applyAlignment="0" applyProtection="0"/>
    <xf numFmtId="0" fontId="97" fillId="46"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97" fillId="4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97" fillId="47" borderId="0" applyNumberFormat="0" applyBorder="0" applyAlignment="0" applyProtection="0"/>
    <xf numFmtId="0" fontId="97" fillId="4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97" fillId="4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97" fillId="48" borderId="0" applyNumberFormat="0" applyBorder="0" applyAlignment="0" applyProtection="0"/>
    <xf numFmtId="0" fontId="97" fillId="48"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97" fillId="49"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97" fillId="49" borderId="0" applyNumberFormat="0" applyBorder="0" applyAlignment="0" applyProtection="0"/>
    <xf numFmtId="0" fontId="97" fillId="49"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97" fillId="50"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97" fillId="50" borderId="0" applyNumberFormat="0" applyBorder="0" applyAlignment="0" applyProtection="0"/>
    <xf numFmtId="0" fontId="97" fillId="50"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97" fillId="51"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97" fillId="51" borderId="0" applyNumberFormat="0" applyBorder="0" applyAlignment="0" applyProtection="0"/>
    <xf numFmtId="0" fontId="97" fillId="51" borderId="0" applyNumberFormat="0" applyBorder="0" applyAlignment="0" applyProtection="0"/>
    <xf numFmtId="0" fontId="2" fillId="43" borderId="0" applyNumberFormat="0" applyBorder="0" applyAlignment="0" applyProtection="0"/>
    <xf numFmtId="0" fontId="129" fillId="46" borderId="0" applyNumberFormat="0" applyBorder="0" applyAlignment="0" applyProtection="0"/>
    <xf numFmtId="0" fontId="129" fillId="46" borderId="0" applyNumberFormat="0" applyBorder="0" applyAlignment="0" applyProtection="0"/>
    <xf numFmtId="0" fontId="97" fillId="46" borderId="0" applyNumberFormat="0" applyBorder="0" applyAlignment="0" applyProtection="0"/>
    <xf numFmtId="0" fontId="78" fillId="46" borderId="0" applyNumberFormat="0" applyBorder="0" applyAlignment="0" applyProtection="0"/>
    <xf numFmtId="0" fontId="129" fillId="23"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97" fillId="47" borderId="0" applyNumberFormat="0" applyBorder="0" applyAlignment="0" applyProtection="0"/>
    <xf numFmtId="0" fontId="78" fillId="47" borderId="0" applyNumberFormat="0" applyBorder="0" applyAlignment="0" applyProtection="0"/>
    <xf numFmtId="0" fontId="129" fillId="27"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97" fillId="48" borderId="0" applyNumberFormat="0" applyBorder="0" applyAlignment="0" applyProtection="0"/>
    <xf numFmtId="0" fontId="78" fillId="48" borderId="0" applyNumberFormat="0" applyBorder="0" applyAlignment="0" applyProtection="0"/>
    <xf numFmtId="0" fontId="129" fillId="31" borderId="0" applyNumberFormat="0" applyBorder="0" applyAlignment="0" applyProtection="0"/>
    <xf numFmtId="0" fontId="129" fillId="49" borderId="0" applyNumberFormat="0" applyBorder="0" applyAlignment="0" applyProtection="0"/>
    <xf numFmtId="0" fontId="129" fillId="49" borderId="0" applyNumberFormat="0" applyBorder="0" applyAlignment="0" applyProtection="0"/>
    <xf numFmtId="0" fontId="97" fillId="49" borderId="0" applyNumberFormat="0" applyBorder="0" applyAlignment="0" applyProtection="0"/>
    <xf numFmtId="0" fontId="78" fillId="49" borderId="0" applyNumberFormat="0" applyBorder="0" applyAlignment="0" applyProtection="0"/>
    <xf numFmtId="0" fontId="129" fillId="35" borderId="0" applyNumberFormat="0" applyBorder="0" applyAlignment="0" applyProtection="0"/>
    <xf numFmtId="0" fontId="129" fillId="39" borderId="0" applyNumberFormat="0" applyBorder="0" applyAlignment="0" applyProtection="0"/>
    <xf numFmtId="0" fontId="129" fillId="39" borderId="0" applyNumberFormat="0" applyBorder="0" applyAlignment="0" applyProtection="0"/>
    <xf numFmtId="0" fontId="97" fillId="50" borderId="0" applyNumberFormat="0" applyBorder="0" applyAlignment="0" applyProtection="0"/>
    <xf numFmtId="0" fontId="129" fillId="43" borderId="0" applyNumberFormat="0" applyBorder="0" applyAlignment="0" applyProtection="0"/>
    <xf numFmtId="0" fontId="129" fillId="43" borderId="0" applyNumberFormat="0" applyBorder="0" applyAlignment="0" applyProtection="0"/>
    <xf numFmtId="0" fontId="97" fillId="51" borderId="0" applyNumberFormat="0" applyBorder="0" applyAlignment="0" applyProtection="0"/>
    <xf numFmtId="0" fontId="97" fillId="46" borderId="0" applyNumberFormat="0" applyBorder="0" applyAlignment="0" applyProtection="0"/>
    <xf numFmtId="0" fontId="97"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97" fillId="47" borderId="0" applyNumberFormat="0" applyBorder="0" applyAlignment="0" applyProtection="0"/>
    <xf numFmtId="0" fontId="97"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97" fillId="48" borderId="0" applyNumberFormat="0" applyBorder="0" applyAlignment="0" applyProtection="0"/>
    <xf numFmtId="0" fontId="97"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97" fillId="49" borderId="0" applyNumberFormat="0" applyBorder="0" applyAlignment="0" applyProtection="0"/>
    <xf numFmtId="0" fontId="97"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97" fillId="50" borderId="0" applyNumberFormat="0" applyBorder="0" applyAlignment="0" applyProtection="0"/>
    <xf numFmtId="0" fontId="97"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97" fillId="51" borderId="0" applyNumberFormat="0" applyBorder="0" applyAlignment="0" applyProtection="0"/>
    <xf numFmtId="0" fontId="97" fillId="51" borderId="0" applyNumberFormat="0" applyBorder="0" applyAlignment="0" applyProtection="0"/>
    <xf numFmtId="0" fontId="14" fillId="51" borderId="0" applyNumberFormat="0" applyBorder="0" applyAlignment="0" applyProtection="0"/>
    <xf numFmtId="0" fontId="14" fillId="51" borderId="0" applyNumberFormat="0" applyBorder="0" applyAlignment="0" applyProtection="0"/>
    <xf numFmtId="0" fontId="106" fillId="46" borderId="0" applyNumberFormat="0" applyBorder="0" applyAlignment="0" applyProtection="0"/>
    <xf numFmtId="0" fontId="106" fillId="47" borderId="0" applyNumberFormat="0" applyBorder="0" applyAlignment="0" applyProtection="0"/>
    <xf numFmtId="0" fontId="106" fillId="48" borderId="0" applyNumberFormat="0" applyBorder="0" applyAlignment="0" applyProtection="0"/>
    <xf numFmtId="0" fontId="106" fillId="49" borderId="0" applyNumberFormat="0" applyBorder="0" applyAlignment="0" applyProtection="0"/>
    <xf numFmtId="0" fontId="106" fillId="50" borderId="0" applyNumberFormat="0" applyBorder="0" applyAlignment="0" applyProtection="0"/>
    <xf numFmtId="0" fontId="106" fillId="51"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97" fillId="52"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97" fillId="52" borderId="0" applyNumberFormat="0" applyBorder="0" applyAlignment="0" applyProtection="0"/>
    <xf numFmtId="0" fontId="97" fillId="52"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97" fillId="53"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97" fillId="53" borderId="0" applyNumberFormat="0" applyBorder="0" applyAlignment="0" applyProtection="0"/>
    <xf numFmtId="0" fontId="97" fillId="53"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97" fillId="54"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97" fillId="54" borderId="0" applyNumberFormat="0" applyBorder="0" applyAlignment="0" applyProtection="0"/>
    <xf numFmtId="0" fontId="97" fillId="54"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97" fillId="49"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97" fillId="49" borderId="0" applyNumberFormat="0" applyBorder="0" applyAlignment="0" applyProtection="0"/>
    <xf numFmtId="0" fontId="97" fillId="49"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97" fillId="52"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97" fillId="52" borderId="0" applyNumberFormat="0" applyBorder="0" applyAlignment="0" applyProtection="0"/>
    <xf numFmtId="0" fontId="97" fillId="52"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97" fillId="55"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97" fillId="55" borderId="0" applyNumberFormat="0" applyBorder="0" applyAlignment="0" applyProtection="0"/>
    <xf numFmtId="0" fontId="97" fillId="55" borderId="0" applyNumberFormat="0" applyBorder="0" applyAlignment="0" applyProtection="0"/>
    <xf numFmtId="0" fontId="2" fillId="4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97" fillId="52"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97" fillId="53"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97" fillId="54" borderId="0" applyNumberFormat="0" applyBorder="0" applyAlignment="0" applyProtection="0"/>
    <xf numFmtId="0" fontId="78" fillId="54" borderId="0" applyNumberFormat="0" applyBorder="0" applyAlignment="0" applyProtection="0"/>
    <xf numFmtId="0" fontId="129" fillId="32" borderId="0" applyNumberFormat="0" applyBorder="0" applyAlignment="0" applyProtection="0"/>
    <xf numFmtId="0" fontId="129" fillId="36" borderId="0" applyNumberFormat="0" applyBorder="0" applyAlignment="0" applyProtection="0"/>
    <xf numFmtId="0" fontId="129" fillId="36" borderId="0" applyNumberFormat="0" applyBorder="0" applyAlignment="0" applyProtection="0"/>
    <xf numFmtId="0" fontId="97" fillId="49" borderId="0" applyNumberFormat="0" applyBorder="0" applyAlignment="0" applyProtection="0"/>
    <xf numFmtId="0" fontId="129" fillId="40" borderId="0" applyNumberFormat="0" applyBorder="0" applyAlignment="0" applyProtection="0"/>
    <xf numFmtId="0" fontId="129" fillId="40" borderId="0" applyNumberFormat="0" applyBorder="0" applyAlignment="0" applyProtection="0"/>
    <xf numFmtId="0" fontId="97" fillId="52" borderId="0" applyNumberFormat="0" applyBorder="0" applyAlignment="0" applyProtection="0"/>
    <xf numFmtId="0" fontId="129" fillId="44" borderId="0" applyNumberFormat="0" applyBorder="0" applyAlignment="0" applyProtection="0"/>
    <xf numFmtId="0" fontId="129" fillId="44" borderId="0" applyNumberFormat="0" applyBorder="0" applyAlignment="0" applyProtection="0"/>
    <xf numFmtId="0" fontId="97" fillId="55" borderId="0" applyNumberFormat="0" applyBorder="0" applyAlignment="0" applyProtection="0"/>
    <xf numFmtId="0" fontId="97" fillId="52" borderId="0" applyNumberFormat="0" applyBorder="0" applyAlignment="0" applyProtection="0"/>
    <xf numFmtId="0" fontId="97"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97" fillId="53" borderId="0" applyNumberFormat="0" applyBorder="0" applyAlignment="0" applyProtection="0"/>
    <xf numFmtId="0" fontId="97"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97" fillId="54" borderId="0" applyNumberFormat="0" applyBorder="0" applyAlignment="0" applyProtection="0"/>
    <xf numFmtId="0" fontId="97"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97" fillId="49" borderId="0" applyNumberFormat="0" applyBorder="0" applyAlignment="0" applyProtection="0"/>
    <xf numFmtId="0" fontId="97"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97" fillId="52" borderId="0" applyNumberFormat="0" applyBorder="0" applyAlignment="0" applyProtection="0"/>
    <xf numFmtId="0" fontId="97"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97" fillId="55" borderId="0" applyNumberFormat="0" applyBorder="0" applyAlignment="0" applyProtection="0"/>
    <xf numFmtId="0" fontId="97" fillId="55" borderId="0" applyNumberFormat="0" applyBorder="0" applyAlignment="0" applyProtection="0"/>
    <xf numFmtId="0" fontId="14" fillId="55" borderId="0" applyNumberFormat="0" applyBorder="0" applyAlignment="0" applyProtection="0"/>
    <xf numFmtId="0" fontId="14" fillId="55" borderId="0" applyNumberFormat="0" applyBorder="0" applyAlignment="0" applyProtection="0"/>
    <xf numFmtId="0" fontId="106" fillId="52"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49" borderId="0" applyNumberFormat="0" applyBorder="0" applyAlignment="0" applyProtection="0"/>
    <xf numFmtId="0" fontId="106" fillId="52" borderId="0" applyNumberFormat="0" applyBorder="0" applyAlignment="0" applyProtection="0"/>
    <xf numFmtId="0" fontId="106" fillId="55" borderId="0" applyNumberFormat="0" applyBorder="0" applyAlignment="0" applyProtection="0"/>
    <xf numFmtId="0" fontId="73" fillId="25" borderId="0" applyNumberFormat="0" applyBorder="0" applyAlignment="0" applyProtection="0"/>
    <xf numFmtId="0" fontId="73" fillId="25" borderId="0" applyNumberFormat="0" applyBorder="0" applyAlignment="0" applyProtection="0"/>
    <xf numFmtId="0" fontId="79" fillId="56" borderId="0" applyNumberFormat="0" applyBorder="0" applyAlignment="0" applyProtection="0"/>
    <xf numFmtId="0" fontId="79" fillId="56" borderId="0" applyNumberFormat="0" applyBorder="0" applyAlignment="0" applyProtection="0"/>
    <xf numFmtId="0" fontId="79" fillId="56" borderId="0" applyNumberFormat="0" applyBorder="0" applyAlignment="0" applyProtection="0"/>
    <xf numFmtId="0" fontId="73" fillId="25" borderId="0" applyNumberFormat="0" applyBorder="0" applyAlignment="0" applyProtection="0"/>
    <xf numFmtId="0" fontId="73" fillId="29" borderId="0" applyNumberFormat="0" applyBorder="0" applyAlignment="0" applyProtection="0"/>
    <xf numFmtId="0" fontId="73" fillId="29" borderId="0" applyNumberFormat="0" applyBorder="0" applyAlignment="0" applyProtection="0"/>
    <xf numFmtId="0" fontId="79" fillId="53" borderId="0" applyNumberFormat="0" applyBorder="0" applyAlignment="0" applyProtection="0"/>
    <xf numFmtId="0" fontId="79" fillId="53" borderId="0" applyNumberFormat="0" applyBorder="0" applyAlignment="0" applyProtection="0"/>
    <xf numFmtId="0" fontId="79" fillId="53" borderId="0" applyNumberFormat="0" applyBorder="0" applyAlignment="0" applyProtection="0"/>
    <xf numFmtId="0" fontId="73" fillId="29" borderId="0" applyNumberFormat="0" applyBorder="0" applyAlignment="0" applyProtection="0"/>
    <xf numFmtId="0" fontId="73" fillId="33" borderId="0" applyNumberFormat="0" applyBorder="0" applyAlignment="0" applyProtection="0"/>
    <xf numFmtId="0" fontId="73" fillId="33" borderId="0" applyNumberFormat="0" applyBorder="0" applyAlignment="0" applyProtection="0"/>
    <xf numFmtId="0" fontId="79" fillId="54" borderId="0" applyNumberFormat="0" applyBorder="0" applyAlignment="0" applyProtection="0"/>
    <xf numFmtId="0" fontId="79" fillId="54" borderId="0" applyNumberFormat="0" applyBorder="0" applyAlignment="0" applyProtection="0"/>
    <xf numFmtId="0" fontId="79" fillId="54" borderId="0" applyNumberFormat="0" applyBorder="0" applyAlignment="0" applyProtection="0"/>
    <xf numFmtId="0" fontId="73" fillId="33" borderId="0" applyNumberFormat="0" applyBorder="0" applyAlignment="0" applyProtection="0"/>
    <xf numFmtId="0" fontId="73" fillId="37" borderId="0" applyNumberFormat="0" applyBorder="0" applyAlignment="0" applyProtection="0"/>
    <xf numFmtId="0" fontId="73" fillId="37" borderId="0" applyNumberFormat="0" applyBorder="0" applyAlignment="0" applyProtection="0"/>
    <xf numFmtId="0" fontId="79" fillId="57" borderId="0" applyNumberFormat="0" applyBorder="0" applyAlignment="0" applyProtection="0"/>
    <xf numFmtId="0" fontId="79" fillId="57" borderId="0" applyNumberFormat="0" applyBorder="0" applyAlignment="0" applyProtection="0"/>
    <xf numFmtId="0" fontId="79" fillId="57" borderId="0" applyNumberFormat="0" applyBorder="0" applyAlignment="0" applyProtection="0"/>
    <xf numFmtId="0" fontId="73" fillId="37" borderId="0" applyNumberFormat="0" applyBorder="0" applyAlignment="0" applyProtection="0"/>
    <xf numFmtId="0" fontId="73" fillId="41" borderId="0" applyNumberFormat="0" applyBorder="0" applyAlignment="0" applyProtection="0"/>
    <xf numFmtId="0" fontId="73" fillId="41" borderId="0" applyNumberFormat="0" applyBorder="0" applyAlignment="0" applyProtection="0"/>
    <xf numFmtId="0" fontId="79" fillId="58" borderId="0" applyNumberFormat="0" applyBorder="0" applyAlignment="0" applyProtection="0"/>
    <xf numFmtId="0" fontId="79" fillId="58" borderId="0" applyNumberFormat="0" applyBorder="0" applyAlignment="0" applyProtection="0"/>
    <xf numFmtId="0" fontId="79" fillId="58" borderId="0" applyNumberFormat="0" applyBorder="0" applyAlignment="0" applyProtection="0"/>
    <xf numFmtId="0" fontId="73" fillId="41" borderId="0" applyNumberFormat="0" applyBorder="0" applyAlignment="0" applyProtection="0"/>
    <xf numFmtId="0" fontId="73" fillId="45" borderId="0" applyNumberFormat="0" applyBorder="0" applyAlignment="0" applyProtection="0"/>
    <xf numFmtId="0" fontId="73" fillId="45" borderId="0" applyNumberFormat="0" applyBorder="0" applyAlignment="0" applyProtection="0"/>
    <xf numFmtId="0" fontId="79" fillId="59" borderId="0" applyNumberFormat="0" applyBorder="0" applyAlignment="0" applyProtection="0"/>
    <xf numFmtId="0" fontId="79" fillId="59" borderId="0" applyNumberFormat="0" applyBorder="0" applyAlignment="0" applyProtection="0"/>
    <xf numFmtId="0" fontId="79" fillId="59" borderId="0" applyNumberFormat="0" applyBorder="0" applyAlignment="0" applyProtection="0"/>
    <xf numFmtId="0" fontId="73" fillId="45" borderId="0" applyNumberFormat="0" applyBorder="0" applyAlignment="0" applyProtection="0"/>
    <xf numFmtId="0" fontId="130" fillId="25" borderId="0" applyNumberFormat="0" applyBorder="0" applyAlignment="0" applyProtection="0"/>
    <xf numFmtId="0" fontId="130" fillId="29" borderId="0" applyNumberFormat="0" applyBorder="0" applyAlignment="0" applyProtection="0"/>
    <xf numFmtId="0" fontId="130" fillId="54" borderId="0" applyNumberFormat="0" applyBorder="0" applyAlignment="0" applyProtection="0"/>
    <xf numFmtId="0" fontId="80" fillId="54" borderId="0" applyNumberFormat="0" applyBorder="0" applyAlignment="0" applyProtection="0"/>
    <xf numFmtId="0" fontId="130" fillId="33" borderId="0" applyNumberFormat="0" applyBorder="0" applyAlignment="0" applyProtection="0"/>
    <xf numFmtId="0" fontId="130" fillId="57" borderId="0" applyNumberFormat="0" applyBorder="0" applyAlignment="0" applyProtection="0"/>
    <xf numFmtId="0" fontId="80" fillId="57" borderId="0" applyNumberFormat="0" applyBorder="0" applyAlignment="0" applyProtection="0"/>
    <xf numFmtId="0" fontId="130" fillId="37" borderId="0" applyNumberFormat="0" applyBorder="0" applyAlignment="0" applyProtection="0"/>
    <xf numFmtId="0" fontId="130" fillId="41" borderId="0" applyNumberFormat="0" applyBorder="0" applyAlignment="0" applyProtection="0"/>
    <xf numFmtId="0" fontId="130" fillId="59" borderId="0" applyNumberFormat="0" applyBorder="0" applyAlignment="0" applyProtection="0"/>
    <xf numFmtId="0" fontId="80" fillId="59" borderId="0" applyNumberFormat="0" applyBorder="0" applyAlignment="0" applyProtection="0"/>
    <xf numFmtId="0" fontId="130" fillId="45" borderId="0" applyNumberFormat="0" applyBorder="0" applyAlignment="0" applyProtection="0"/>
    <xf numFmtId="0" fontId="79" fillId="56" borderId="0" applyNumberFormat="0" applyBorder="0" applyAlignment="0" applyProtection="0"/>
    <xf numFmtId="0" fontId="79" fillId="56" borderId="0" applyNumberFormat="0" applyBorder="0" applyAlignment="0" applyProtection="0"/>
    <xf numFmtId="0" fontId="125" fillId="56" borderId="0" applyNumberFormat="0" applyBorder="0" applyAlignment="0" applyProtection="0"/>
    <xf numFmtId="0" fontId="125" fillId="56" borderId="0" applyNumberFormat="0" applyBorder="0" applyAlignment="0" applyProtection="0"/>
    <xf numFmtId="0" fontId="79" fillId="53" borderId="0" applyNumberFormat="0" applyBorder="0" applyAlignment="0" applyProtection="0"/>
    <xf numFmtId="0" fontId="79" fillId="53" borderId="0" applyNumberFormat="0" applyBorder="0" applyAlignment="0" applyProtection="0"/>
    <xf numFmtId="0" fontId="125" fillId="53" borderId="0" applyNumberFormat="0" applyBorder="0" applyAlignment="0" applyProtection="0"/>
    <xf numFmtId="0" fontId="125" fillId="53" borderId="0" applyNumberFormat="0" applyBorder="0" applyAlignment="0" applyProtection="0"/>
    <xf numFmtId="0" fontId="79" fillId="54" borderId="0" applyNumberFormat="0" applyBorder="0" applyAlignment="0" applyProtection="0"/>
    <xf numFmtId="0" fontId="79" fillId="54" borderId="0" applyNumberFormat="0" applyBorder="0" applyAlignment="0" applyProtection="0"/>
    <xf numFmtId="0" fontId="125" fillId="54" borderId="0" applyNumberFormat="0" applyBorder="0" applyAlignment="0" applyProtection="0"/>
    <xf numFmtId="0" fontId="125" fillId="54" borderId="0" applyNumberFormat="0" applyBorder="0" applyAlignment="0" applyProtection="0"/>
    <xf numFmtId="0" fontId="79" fillId="57" borderId="0" applyNumberFormat="0" applyBorder="0" applyAlignment="0" applyProtection="0"/>
    <xf numFmtId="0" fontId="79" fillId="57" borderId="0" applyNumberFormat="0" applyBorder="0" applyAlignment="0" applyProtection="0"/>
    <xf numFmtId="0" fontId="125" fillId="57" borderId="0" applyNumberFormat="0" applyBorder="0" applyAlignment="0" applyProtection="0"/>
    <xf numFmtId="0" fontId="125" fillId="57" borderId="0" applyNumberFormat="0" applyBorder="0" applyAlignment="0" applyProtection="0"/>
    <xf numFmtId="0" fontId="79" fillId="58" borderId="0" applyNumberFormat="0" applyBorder="0" applyAlignment="0" applyProtection="0"/>
    <xf numFmtId="0" fontId="79" fillId="58" borderId="0" applyNumberFormat="0" applyBorder="0" applyAlignment="0" applyProtection="0"/>
    <xf numFmtId="0" fontId="125" fillId="58" borderId="0" applyNumberFormat="0" applyBorder="0" applyAlignment="0" applyProtection="0"/>
    <xf numFmtId="0" fontId="125" fillId="58" borderId="0" applyNumberFormat="0" applyBorder="0" applyAlignment="0" applyProtection="0"/>
    <xf numFmtId="0" fontId="79" fillId="59" borderId="0" applyNumberFormat="0" applyBorder="0" applyAlignment="0" applyProtection="0"/>
    <xf numFmtId="0" fontId="79" fillId="59" borderId="0" applyNumberFormat="0" applyBorder="0" applyAlignment="0" applyProtection="0"/>
    <xf numFmtId="0" fontId="125" fillId="59" borderId="0" applyNumberFormat="0" applyBorder="0" applyAlignment="0" applyProtection="0"/>
    <xf numFmtId="0" fontId="125" fillId="59" borderId="0" applyNumberFormat="0" applyBorder="0" applyAlignment="0" applyProtection="0"/>
    <xf numFmtId="0" fontId="107" fillId="56" borderId="0" applyNumberFormat="0" applyBorder="0" applyAlignment="0" applyProtection="0"/>
    <xf numFmtId="0" fontId="107" fillId="53" borderId="0" applyNumberFormat="0" applyBorder="0" applyAlignment="0" applyProtection="0"/>
    <xf numFmtId="0" fontId="107" fillId="54" borderId="0" applyNumberFormat="0" applyBorder="0" applyAlignment="0" applyProtection="0"/>
    <xf numFmtId="0" fontId="107" fillId="57" borderId="0" applyNumberFormat="0" applyBorder="0" applyAlignment="0" applyProtection="0"/>
    <xf numFmtId="0" fontId="107" fillId="58" borderId="0" applyNumberFormat="0" applyBorder="0" applyAlignment="0" applyProtection="0"/>
    <xf numFmtId="0" fontId="107" fillId="59" borderId="0" applyNumberFormat="0" applyBorder="0" applyAlignment="0" applyProtection="0"/>
    <xf numFmtId="0" fontId="130" fillId="22" borderId="0" applyNumberFormat="0" applyBorder="0" applyAlignment="0" applyProtection="0"/>
    <xf numFmtId="0" fontId="80" fillId="60" borderId="0" applyNumberFormat="0" applyBorder="0" applyAlignment="0" applyProtection="0"/>
    <xf numFmtId="0" fontId="73" fillId="22" borderId="0" applyNumberFormat="0" applyBorder="0" applyAlignment="0" applyProtection="0"/>
    <xf numFmtId="0" fontId="79" fillId="60" borderId="0" applyNumberFormat="0" applyBorder="0" applyAlignment="0" applyProtection="0"/>
    <xf numFmtId="0" fontId="130" fillId="26" borderId="0" applyNumberFormat="0" applyBorder="0" applyAlignment="0" applyProtection="0"/>
    <xf numFmtId="0" fontId="80" fillId="61" borderId="0" applyNumberFormat="0" applyBorder="0" applyAlignment="0" applyProtection="0"/>
    <xf numFmtId="0" fontId="73" fillId="26" borderId="0" applyNumberFormat="0" applyBorder="0" applyAlignment="0" applyProtection="0"/>
    <xf numFmtId="0" fontId="79" fillId="61" borderId="0" applyNumberFormat="0" applyBorder="0" applyAlignment="0" applyProtection="0"/>
    <xf numFmtId="0" fontId="130" fillId="30" borderId="0" applyNumberFormat="0" applyBorder="0" applyAlignment="0" applyProtection="0"/>
    <xf numFmtId="0" fontId="80" fillId="62" borderId="0" applyNumberFormat="0" applyBorder="0" applyAlignment="0" applyProtection="0"/>
    <xf numFmtId="0" fontId="73" fillId="30" borderId="0" applyNumberFormat="0" applyBorder="0" applyAlignment="0" applyProtection="0"/>
    <xf numFmtId="0" fontId="79" fillId="62" borderId="0" applyNumberFormat="0" applyBorder="0" applyAlignment="0" applyProtection="0"/>
    <xf numFmtId="0" fontId="130" fillId="34" borderId="0" applyNumberFormat="0" applyBorder="0" applyAlignment="0" applyProtection="0"/>
    <xf numFmtId="0" fontId="80" fillId="57" borderId="0" applyNumberFormat="0" applyBorder="0" applyAlignment="0" applyProtection="0"/>
    <xf numFmtId="0" fontId="73" fillId="34" borderId="0" applyNumberFormat="0" applyBorder="0" applyAlignment="0" applyProtection="0"/>
    <xf numFmtId="0" fontId="79" fillId="57" borderId="0" applyNumberFormat="0" applyBorder="0" applyAlignment="0" applyProtection="0"/>
    <xf numFmtId="0" fontId="130" fillId="38" borderId="0" applyNumberFormat="0" applyBorder="0" applyAlignment="0" applyProtection="0"/>
    <xf numFmtId="0" fontId="80" fillId="58" borderId="0" applyNumberFormat="0" applyBorder="0" applyAlignment="0" applyProtection="0"/>
    <xf numFmtId="0" fontId="73" fillId="38" borderId="0" applyNumberFormat="0" applyBorder="0" applyAlignment="0" applyProtection="0"/>
    <xf numFmtId="0" fontId="79" fillId="58" borderId="0" applyNumberFormat="0" applyBorder="0" applyAlignment="0" applyProtection="0"/>
    <xf numFmtId="0" fontId="130" fillId="42" borderId="0" applyNumberFormat="0" applyBorder="0" applyAlignment="0" applyProtection="0"/>
    <xf numFmtId="0" fontId="80" fillId="63" borderId="0" applyNumberFormat="0" applyBorder="0" applyAlignment="0" applyProtection="0"/>
    <xf numFmtId="0" fontId="73" fillId="42" borderId="0" applyNumberFormat="0" applyBorder="0" applyAlignment="0" applyProtection="0"/>
    <xf numFmtId="0" fontId="79" fillId="63" borderId="0" applyNumberFormat="0" applyBorder="0" applyAlignment="0" applyProtection="0"/>
    <xf numFmtId="0" fontId="73" fillId="22" borderId="0" applyNumberFormat="0" applyBorder="0" applyAlignment="0" applyProtection="0"/>
    <xf numFmtId="0" fontId="79" fillId="60" borderId="0" applyNumberFormat="0" applyBorder="0" applyAlignment="0" applyProtection="0"/>
    <xf numFmtId="0" fontId="79" fillId="60" borderId="0" applyNumberFormat="0" applyBorder="0" applyAlignment="0" applyProtection="0"/>
    <xf numFmtId="0" fontId="73" fillId="22" borderId="0" applyNumberFormat="0" applyBorder="0" applyAlignment="0" applyProtection="0"/>
    <xf numFmtId="0" fontId="73" fillId="26" borderId="0" applyNumberFormat="0" applyBorder="0" applyAlignment="0" applyProtection="0"/>
    <xf numFmtId="0" fontId="79" fillId="61" borderId="0" applyNumberFormat="0" applyBorder="0" applyAlignment="0" applyProtection="0"/>
    <xf numFmtId="0" fontId="79" fillId="61" borderId="0" applyNumberFormat="0" applyBorder="0" applyAlignment="0" applyProtection="0"/>
    <xf numFmtId="0" fontId="73" fillId="26" borderId="0" applyNumberFormat="0" applyBorder="0" applyAlignment="0" applyProtection="0"/>
    <xf numFmtId="0" fontId="73" fillId="30" borderId="0" applyNumberFormat="0" applyBorder="0" applyAlignment="0" applyProtection="0"/>
    <xf numFmtId="0" fontId="79" fillId="62" borderId="0" applyNumberFormat="0" applyBorder="0" applyAlignment="0" applyProtection="0"/>
    <xf numFmtId="0" fontId="79" fillId="62" borderId="0" applyNumberFormat="0" applyBorder="0" applyAlignment="0" applyProtection="0"/>
    <xf numFmtId="0" fontId="73" fillId="30" borderId="0" applyNumberFormat="0" applyBorder="0" applyAlignment="0" applyProtection="0"/>
    <xf numFmtId="0" fontId="73" fillId="34" borderId="0" applyNumberFormat="0" applyBorder="0" applyAlignment="0" applyProtection="0"/>
    <xf numFmtId="0" fontId="79" fillId="57" borderId="0" applyNumberFormat="0" applyBorder="0" applyAlignment="0" applyProtection="0"/>
    <xf numFmtId="0" fontId="79" fillId="57" borderId="0" applyNumberFormat="0" applyBorder="0" applyAlignment="0" applyProtection="0"/>
    <xf numFmtId="0" fontId="73" fillId="34" borderId="0" applyNumberFormat="0" applyBorder="0" applyAlignment="0" applyProtection="0"/>
    <xf numFmtId="0" fontId="73" fillId="38" borderId="0" applyNumberFormat="0" applyBorder="0" applyAlignment="0" applyProtection="0"/>
    <xf numFmtId="0" fontId="79" fillId="58" borderId="0" applyNumberFormat="0" applyBorder="0" applyAlignment="0" applyProtection="0"/>
    <xf numFmtId="0" fontId="79" fillId="58" borderId="0" applyNumberFormat="0" applyBorder="0" applyAlignment="0" applyProtection="0"/>
    <xf numFmtId="0" fontId="73" fillId="38" borderId="0" applyNumberFormat="0" applyBorder="0" applyAlignment="0" applyProtection="0"/>
    <xf numFmtId="0" fontId="73" fillId="42" borderId="0" applyNumberFormat="0" applyBorder="0" applyAlignment="0" applyProtection="0"/>
    <xf numFmtId="0" fontId="79" fillId="63" borderId="0" applyNumberFormat="0" applyBorder="0" applyAlignment="0" applyProtection="0"/>
    <xf numFmtId="0" fontId="79" fillId="63" borderId="0" applyNumberFormat="0" applyBorder="0" applyAlignment="0" applyProtection="0"/>
    <xf numFmtId="0" fontId="73" fillId="42" borderId="0" applyNumberFormat="0" applyBorder="0" applyAlignment="0" applyProtection="0"/>
    <xf numFmtId="0" fontId="66" fillId="19" borderId="82" applyNumberFormat="0" applyAlignment="0" applyProtection="0"/>
    <xf numFmtId="0" fontId="66" fillId="19" borderId="82" applyNumberFormat="0" applyAlignment="0" applyProtection="0"/>
    <xf numFmtId="0" fontId="126" fillId="64" borderId="87" applyNumberFormat="0" applyAlignment="0" applyProtection="0"/>
    <xf numFmtId="0" fontId="99" fillId="64" borderId="87" applyNumberFormat="0" applyAlignment="0" applyProtection="0"/>
    <xf numFmtId="0" fontId="66" fillId="19" borderId="82" applyNumberFormat="0" applyAlignment="0" applyProtection="0"/>
    <xf numFmtId="0" fontId="131" fillId="16" borderId="0" applyNumberFormat="0" applyBorder="0" applyAlignment="0" applyProtection="0"/>
    <xf numFmtId="0" fontId="81" fillId="47" borderId="0" applyNumberFormat="0" applyBorder="0" applyAlignment="0" applyProtection="0"/>
    <xf numFmtId="0" fontId="63" fillId="16" borderId="0" applyNumberFormat="0" applyBorder="0" applyAlignment="0" applyProtection="0"/>
    <xf numFmtId="0" fontId="89" fillId="47" borderId="0" applyNumberFormat="0" applyBorder="0" applyAlignment="0" applyProtection="0"/>
    <xf numFmtId="0" fontId="67" fillId="19" borderId="81" applyNumberFormat="0" applyAlignment="0" applyProtection="0"/>
    <xf numFmtId="0" fontId="67" fillId="19" borderId="81" applyNumberFormat="0" applyAlignment="0" applyProtection="0"/>
    <xf numFmtId="0" fontId="127" fillId="64" borderId="88" applyNumberFormat="0" applyAlignment="0" applyProtection="0"/>
    <xf numFmtId="0" fontId="100" fillId="64" borderId="88" applyNumberFormat="0" applyAlignment="0" applyProtection="0"/>
    <xf numFmtId="0" fontId="67" fillId="19" borderId="81" applyNumberFormat="0" applyAlignment="0" applyProtection="0"/>
    <xf numFmtId="0" fontId="132" fillId="19" borderId="81" applyNumberFormat="0" applyAlignment="0" applyProtection="0"/>
    <xf numFmtId="0" fontId="133" fillId="20" borderId="84" applyNumberFormat="0" applyAlignment="0" applyProtection="0"/>
    <xf numFmtId="0" fontId="82" fillId="65" borderId="89" applyNumberFormat="0" applyAlignment="0" applyProtection="0"/>
    <xf numFmtId="0" fontId="69" fillId="20" borderId="84" applyNumberFormat="0" applyAlignment="0" applyProtection="0"/>
    <xf numFmtId="0" fontId="96" fillId="65" borderId="89" applyNumberFormat="0" applyAlignment="0" applyProtection="0"/>
    <xf numFmtId="0" fontId="65" fillId="18" borderId="81" applyNumberFormat="0" applyAlignment="0" applyProtection="0"/>
    <xf numFmtId="0" fontId="65" fillId="18" borderId="81" applyNumberFormat="0" applyAlignment="0" applyProtection="0"/>
    <xf numFmtId="0" fontId="30" fillId="51" borderId="88" applyNumberFormat="0" applyAlignment="0" applyProtection="0"/>
    <xf numFmtId="0" fontId="101" fillId="51" borderId="88" applyNumberFormat="0" applyAlignment="0" applyProtection="0"/>
    <xf numFmtId="0" fontId="65" fillId="18" borderId="81" applyNumberFormat="0" applyAlignment="0" applyProtection="0"/>
    <xf numFmtId="0" fontId="72" fillId="0" borderId="86" applyNumberFormat="0" applyFill="0" applyAlignment="0" applyProtection="0"/>
    <xf numFmtId="0" fontId="72" fillId="0" borderId="86" applyNumberFormat="0" applyFill="0" applyAlignment="0" applyProtection="0"/>
    <xf numFmtId="0" fontId="98" fillId="0" borderId="90" applyNumberFormat="0" applyFill="0" applyAlignment="0" applyProtection="0"/>
    <xf numFmtId="0" fontId="102" fillId="0" borderId="90" applyNumberFormat="0" applyFill="0" applyAlignment="0" applyProtection="0"/>
    <xf numFmtId="0" fontId="72" fillId="0" borderId="86"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28" fillId="0" borderId="0" applyNumberFormat="0" applyFill="0" applyBorder="0" applyAlignment="0" applyProtection="0"/>
    <xf numFmtId="0" fontId="103" fillId="0" borderId="0" applyNumberFormat="0" applyFill="0" applyBorder="0" applyAlignment="0" applyProtection="0"/>
    <xf numFmtId="0" fontId="71" fillId="0" borderId="0" applyNumberForma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134" fillId="0" borderId="0" applyNumberFormat="0" applyFill="0" applyBorder="0" applyAlignment="0" applyProtection="0"/>
    <xf numFmtId="0" fontId="135" fillId="15" borderId="0" applyNumberFormat="0" applyBorder="0" applyAlignment="0" applyProtection="0"/>
    <xf numFmtId="0" fontId="83" fillId="48" borderId="0" applyNumberFormat="0" applyBorder="0" applyAlignment="0" applyProtection="0"/>
    <xf numFmtId="0" fontId="62" fillId="15" borderId="0" applyNumberFormat="0" applyBorder="0" applyAlignment="0" applyProtection="0"/>
    <xf numFmtId="0" fontId="84" fillId="48" borderId="0" applyNumberFormat="0" applyBorder="0" applyAlignment="0" applyProtection="0"/>
    <xf numFmtId="0" fontId="62" fillId="15" borderId="0" applyNumberFormat="0" applyBorder="0" applyAlignment="0" applyProtection="0"/>
    <xf numFmtId="0" fontId="84" fillId="48" borderId="0" applyNumberFormat="0" applyBorder="0" applyAlignment="0" applyProtection="0"/>
    <xf numFmtId="0" fontId="84" fillId="48" borderId="0" applyNumberFormat="0" applyBorder="0" applyAlignment="0" applyProtection="0"/>
    <xf numFmtId="0" fontId="62" fillId="15" borderId="0" applyNumberFormat="0" applyBorder="0" applyAlignment="0" applyProtection="0"/>
    <xf numFmtId="0" fontId="136" fillId="0" borderId="78" applyNumberFormat="0" applyFill="0" applyAlignment="0" applyProtection="0"/>
    <xf numFmtId="0" fontId="85" fillId="0" borderId="91" applyNumberFormat="0" applyFill="0" applyAlignment="0" applyProtection="0"/>
    <xf numFmtId="0" fontId="59" fillId="0" borderId="78" applyNumberFormat="0" applyFill="0" applyAlignment="0" applyProtection="0"/>
    <xf numFmtId="0" fontId="92" fillId="0" borderId="91" applyNumberFormat="0" applyFill="0" applyAlignment="0" applyProtection="0"/>
    <xf numFmtId="0" fontId="137" fillId="0" borderId="79" applyNumberFormat="0" applyFill="0" applyAlignment="0" applyProtection="0"/>
    <xf numFmtId="0" fontId="86" fillId="0" borderId="92" applyNumberFormat="0" applyFill="0" applyAlignment="0" applyProtection="0"/>
    <xf numFmtId="0" fontId="60" fillId="0" borderId="79" applyNumberFormat="0" applyFill="0" applyAlignment="0" applyProtection="0"/>
    <xf numFmtId="0" fontId="93" fillId="0" borderId="92" applyNumberFormat="0" applyFill="0" applyAlignment="0" applyProtection="0"/>
    <xf numFmtId="0" fontId="138" fillId="0" borderId="80" applyNumberFormat="0" applyFill="0" applyAlignment="0" applyProtection="0"/>
    <xf numFmtId="0" fontId="87" fillId="0" borderId="93" applyNumberFormat="0" applyFill="0" applyAlignment="0" applyProtection="0"/>
    <xf numFmtId="0" fontId="61" fillId="0" borderId="80" applyNumberFormat="0" applyFill="0" applyAlignment="0" applyProtection="0"/>
    <xf numFmtId="0" fontId="94" fillId="0" borderId="93" applyNumberFormat="0" applyFill="0" applyAlignment="0" applyProtection="0"/>
    <xf numFmtId="0" fontId="138" fillId="0" borderId="0" applyNumberFormat="0" applyFill="0" applyBorder="0" applyAlignment="0" applyProtection="0"/>
    <xf numFmtId="0" fontId="87" fillId="0" borderId="0" applyNumberFormat="0" applyFill="0" applyBorder="0" applyAlignment="0" applyProtection="0"/>
    <xf numFmtId="0" fontId="61" fillId="0" borderId="0" applyNumberFormat="0" applyFill="0" applyBorder="0" applyAlignment="0" applyProtection="0"/>
    <xf numFmtId="0" fontId="94" fillId="0" borderId="0" applyNumberFormat="0" applyFill="0" applyBorder="0" applyAlignment="0" applyProtection="0"/>
    <xf numFmtId="0" fontId="124" fillId="0" borderId="0" applyNumberFormat="0" applyFill="0" applyBorder="0" applyAlignment="0" applyProtection="0">
      <alignment vertical="top"/>
      <protection locked="0"/>
    </xf>
    <xf numFmtId="0" fontId="139" fillId="18" borderId="81" applyNumberFormat="0" applyAlignment="0" applyProtection="0"/>
    <xf numFmtId="165" fontId="4" fillId="0" borderId="0" applyFont="0" applyFill="0" applyBorder="0" applyAlignment="0" applyProtection="0"/>
    <xf numFmtId="165" fontId="4" fillId="0" borderId="0" applyFont="0" applyFill="0" applyBorder="0" applyAlignment="0" applyProtection="0"/>
    <xf numFmtId="0" fontId="140" fillId="0" borderId="83" applyNumberFormat="0" applyFill="0" applyAlignment="0" applyProtection="0"/>
    <xf numFmtId="0" fontId="88" fillId="0" borderId="94" applyNumberFormat="0" applyFill="0" applyAlignment="0" applyProtection="0"/>
    <xf numFmtId="0" fontId="68" fillId="0" borderId="83" applyNumberFormat="0" applyFill="0" applyAlignment="0" applyProtection="0"/>
    <xf numFmtId="0" fontId="95" fillId="0" borderId="94" applyNumberFormat="0" applyFill="0" applyAlignment="0" applyProtection="0"/>
    <xf numFmtId="0" fontId="141" fillId="17" borderId="0" applyNumberFormat="0" applyBorder="0" applyAlignment="0" applyProtection="0"/>
    <xf numFmtId="0" fontId="141" fillId="17" borderId="0" applyNumberFormat="0" applyBorder="0" applyAlignment="0" applyProtection="0"/>
    <xf numFmtId="0" fontId="104" fillId="66" borderId="0" applyNumberFormat="0" applyBorder="0" applyAlignment="0" applyProtection="0"/>
    <xf numFmtId="0" fontId="64" fillId="17" borderId="0" applyNumberFormat="0" applyBorder="0" applyAlignment="0" applyProtection="0"/>
    <xf numFmtId="0" fontId="4" fillId="0" borderId="0"/>
    <xf numFmtId="0" fontId="129" fillId="0" borderId="0"/>
    <xf numFmtId="0" fontId="4" fillId="0" borderId="0"/>
    <xf numFmtId="0" fontId="4" fillId="0" borderId="0"/>
    <xf numFmtId="0" fontId="4" fillId="0" borderId="0"/>
    <xf numFmtId="0" fontId="78" fillId="67" borderId="95" applyNumberFormat="0" applyFont="0" applyAlignment="0" applyProtection="0"/>
    <xf numFmtId="0" fontId="78" fillId="21" borderId="85" applyNumberFormat="0" applyFont="0" applyAlignment="0" applyProtection="0"/>
    <xf numFmtId="0" fontId="78" fillId="67" borderId="95" applyNumberFormat="0" applyFont="0" applyAlignment="0" applyProtection="0"/>
    <xf numFmtId="0" fontId="78" fillId="21" borderId="85" applyNumberFormat="0" applyFont="0" applyAlignment="0" applyProtection="0"/>
    <xf numFmtId="0" fontId="78" fillId="21" borderId="85" applyNumberFormat="0" applyFont="0" applyAlignment="0" applyProtection="0"/>
    <xf numFmtId="0" fontId="78" fillId="21" borderId="85" applyNumberFormat="0" applyFont="0" applyAlignment="0" applyProtection="0"/>
    <xf numFmtId="0" fontId="78" fillId="21" borderId="85" applyNumberFormat="0" applyFont="0" applyAlignment="0" applyProtection="0"/>
    <xf numFmtId="0" fontId="78" fillId="21" borderId="85" applyNumberFormat="0" applyFont="0" applyAlignment="0" applyProtection="0"/>
    <xf numFmtId="0" fontId="78" fillId="21" borderId="85" applyNumberFormat="0" applyFont="0" applyAlignment="0" applyProtection="0"/>
    <xf numFmtId="0" fontId="78" fillId="21" borderId="85" applyNumberFormat="0" applyFont="0" applyAlignment="0" applyProtection="0"/>
    <xf numFmtId="0" fontId="97" fillId="21" borderId="8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97" fillId="21" borderId="85" applyNumberFormat="0" applyFont="0" applyAlignment="0" applyProtection="0"/>
    <xf numFmtId="0" fontId="97" fillId="67" borderId="95" applyNumberFormat="0" applyFont="0" applyAlignment="0" applyProtection="0"/>
    <xf numFmtId="0" fontId="97" fillId="67" borderId="9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142" fillId="19" borderId="82" applyNumberFormat="0" applyAlignment="0" applyProtection="0"/>
    <xf numFmtId="0" fontId="63" fillId="16" borderId="0" applyNumberFormat="0" applyBorder="0" applyAlignment="0" applyProtection="0"/>
    <xf numFmtId="0" fontId="89" fillId="47" borderId="0" applyNumberFormat="0" applyBorder="0" applyAlignment="0" applyProtection="0"/>
    <xf numFmtId="0" fontId="89" fillId="47" borderId="0" applyNumberFormat="0" applyBorder="0" applyAlignment="0" applyProtection="0"/>
    <xf numFmtId="0" fontId="63" fillId="16" borderId="0" applyNumberFormat="0" applyBorder="0" applyAlignment="0" applyProtection="0"/>
    <xf numFmtId="0" fontId="18" fillId="0" borderId="0" applyBorder="0" applyProtection="0">
      <alignment horizontal="left" vertical="top" wrapText="1"/>
      <protection locked="0"/>
    </xf>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4" fillId="0" borderId="0"/>
    <xf numFmtId="0" fontId="2" fillId="0" borderId="0"/>
    <xf numFmtId="0" fontId="143" fillId="0" borderId="0"/>
    <xf numFmtId="0" fontId="4" fillId="0" borderId="0"/>
    <xf numFmtId="0" fontId="2" fillId="0" borderId="0"/>
    <xf numFmtId="0" fontId="2" fillId="0" borderId="0"/>
    <xf numFmtId="0" fontId="2" fillId="0" borderId="0"/>
    <xf numFmtId="0" fontId="143" fillId="0" borderId="0"/>
    <xf numFmtId="0" fontId="18" fillId="0" borderId="0" applyBorder="0" applyProtection="0">
      <alignment horizontal="left" vertical="top" wrapText="1"/>
      <protection locked="0"/>
    </xf>
    <xf numFmtId="0" fontId="18" fillId="0" borderId="0" applyBorder="0" applyProtection="0">
      <alignment horizontal="left" vertical="top" wrapText="1"/>
      <protection locked="0"/>
    </xf>
    <xf numFmtId="0" fontId="4" fillId="0" borderId="0"/>
    <xf numFmtId="0" fontId="4" fillId="0" borderId="0"/>
    <xf numFmtId="0" fontId="18" fillId="0" borderId="0" applyBorder="0" applyProtection="0">
      <alignment horizontal="left" vertical="top" wrapText="1"/>
      <protection locked="0"/>
    </xf>
    <xf numFmtId="0" fontId="4" fillId="0" borderId="0"/>
    <xf numFmtId="0" fontId="4" fillId="0" borderId="0"/>
    <xf numFmtId="0" fontId="4" fillId="0" borderId="0"/>
    <xf numFmtId="0" fontId="4" fillId="0" borderId="0"/>
    <xf numFmtId="0" fontId="4" fillId="0" borderId="0"/>
    <xf numFmtId="0" fontId="74" fillId="0" borderId="0"/>
    <xf numFmtId="0" fontId="74" fillId="0" borderId="0"/>
    <xf numFmtId="0" fontId="4" fillId="0" borderId="0"/>
    <xf numFmtId="0" fontId="4" fillId="0" borderId="0"/>
    <xf numFmtId="0" fontId="74" fillId="0" borderId="0"/>
    <xf numFmtId="0" fontId="74" fillId="0" borderId="0"/>
    <xf numFmtId="0" fontId="74" fillId="0" borderId="0"/>
    <xf numFmtId="0" fontId="74" fillId="0" borderId="0"/>
    <xf numFmtId="0" fontId="18" fillId="0" borderId="0" applyBorder="0" applyProtection="0">
      <alignment horizontal="left" vertical="top" wrapText="1"/>
      <protection locked="0"/>
    </xf>
    <xf numFmtId="0" fontId="18" fillId="0" borderId="0" applyBorder="0" applyProtection="0">
      <alignment horizontal="left" vertical="top" wrapText="1"/>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3" fillId="0" borderId="0"/>
    <xf numFmtId="0" fontId="12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44" fillId="0" borderId="0" applyNumberFormat="0" applyFill="0" applyBorder="0" applyAlignment="0" applyProtection="0"/>
    <xf numFmtId="0" fontId="90" fillId="0" borderId="0" applyNumberFormat="0" applyFill="0" applyBorder="0" applyAlignment="0" applyProtection="0"/>
    <xf numFmtId="0" fontId="58" fillId="0" borderId="0" applyNumberFormat="0" applyFill="0" applyBorder="0" applyAlignment="0" applyProtection="0"/>
    <xf numFmtId="0" fontId="91" fillId="0" borderId="0" applyNumberFormat="0" applyFill="0" applyBorder="0" applyAlignment="0" applyProtection="0"/>
    <xf numFmtId="0" fontId="145" fillId="0" borderId="86" applyNumberFormat="0" applyFill="0" applyAlignment="0" applyProtection="0"/>
    <xf numFmtId="0" fontId="58" fillId="0" borderId="0" applyNumberFormat="0" applyFill="0" applyBorder="0" applyAlignment="0" applyProtection="0"/>
    <xf numFmtId="0" fontId="59" fillId="0" borderId="78" applyNumberFormat="0" applyFill="0" applyAlignment="0" applyProtection="0"/>
    <xf numFmtId="0" fontId="92" fillId="0" borderId="91" applyNumberFormat="0" applyFill="0" applyAlignment="0" applyProtection="0"/>
    <xf numFmtId="0" fontId="92" fillId="0" borderId="91" applyNumberFormat="0" applyFill="0" applyAlignment="0" applyProtection="0"/>
    <xf numFmtId="0" fontId="59" fillId="0" borderId="78" applyNumberFormat="0" applyFill="0" applyAlignment="0" applyProtection="0"/>
    <xf numFmtId="0" fontId="60" fillId="0" borderId="79" applyNumberFormat="0" applyFill="0" applyAlignment="0" applyProtection="0"/>
    <xf numFmtId="0" fontId="93" fillId="0" borderId="92" applyNumberFormat="0" applyFill="0" applyAlignment="0" applyProtection="0"/>
    <xf numFmtId="0" fontId="93" fillId="0" borderId="92" applyNumberFormat="0" applyFill="0" applyAlignment="0" applyProtection="0"/>
    <xf numFmtId="0" fontId="60" fillId="0" borderId="79" applyNumberFormat="0" applyFill="0" applyAlignment="0" applyProtection="0"/>
    <xf numFmtId="0" fontId="61" fillId="0" borderId="80" applyNumberFormat="0" applyFill="0" applyAlignment="0" applyProtection="0"/>
    <xf numFmtId="0" fontId="94" fillId="0" borderId="93" applyNumberFormat="0" applyFill="0" applyAlignment="0" applyProtection="0"/>
    <xf numFmtId="0" fontId="94" fillId="0" borderId="93" applyNumberFormat="0" applyFill="0" applyAlignment="0" applyProtection="0"/>
    <xf numFmtId="0" fontId="61" fillId="0" borderId="80" applyNumberFormat="0" applyFill="0" applyAlignment="0" applyProtection="0"/>
    <xf numFmtId="0" fontId="61"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6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58" fillId="0" borderId="0" applyNumberFormat="0" applyFill="0" applyBorder="0" applyAlignment="0" applyProtection="0"/>
    <xf numFmtId="0" fontId="68" fillId="0" borderId="83" applyNumberFormat="0" applyFill="0" applyAlignment="0" applyProtection="0"/>
    <xf numFmtId="0" fontId="95" fillId="0" borderId="94" applyNumberFormat="0" applyFill="0" applyAlignment="0" applyProtection="0"/>
    <xf numFmtId="0" fontId="95" fillId="0" borderId="94" applyNumberFormat="0" applyFill="0" applyAlignment="0" applyProtection="0"/>
    <xf numFmtId="0" fontId="68" fillId="0" borderId="83"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7" fillId="0" borderId="0" applyNumberFormat="0" applyFill="0" applyBorder="0" applyAlignment="0" applyProtection="0"/>
    <xf numFmtId="0" fontId="105" fillId="0" borderId="0" applyNumberFormat="0" applyFill="0" applyBorder="0" applyAlignment="0" applyProtection="0"/>
    <xf numFmtId="0" fontId="70" fillId="0" borderId="0" applyNumberFormat="0" applyFill="0" applyBorder="0" applyAlignment="0" applyProtection="0"/>
    <xf numFmtId="0" fontId="146" fillId="0" borderId="0" applyNumberFormat="0" applyFill="0" applyBorder="0" applyAlignment="0" applyProtection="0"/>
    <xf numFmtId="0" fontId="69" fillId="20" borderId="84" applyNumberFormat="0" applyAlignment="0" applyProtection="0"/>
    <xf numFmtId="0" fontId="96" fillId="65" borderId="89" applyNumberFormat="0" applyAlignment="0" applyProtection="0"/>
    <xf numFmtId="0" fontId="96" fillId="65" borderId="89" applyNumberFormat="0" applyAlignment="0" applyProtection="0"/>
    <xf numFmtId="0" fontId="69" fillId="20" borderId="84" applyNumberFormat="0" applyAlignment="0" applyProtection="0"/>
    <xf numFmtId="0" fontId="107" fillId="60" borderId="0" applyNumberFormat="0" applyBorder="0" applyAlignment="0" applyProtection="0"/>
    <xf numFmtId="0" fontId="107" fillId="61" borderId="0" applyNumberFormat="0" applyBorder="0" applyAlignment="0" applyProtection="0"/>
    <xf numFmtId="0" fontId="107" fillId="62" borderId="0" applyNumberFormat="0" applyBorder="0" applyAlignment="0" applyProtection="0"/>
    <xf numFmtId="0" fontId="107" fillId="57" borderId="0" applyNumberFormat="0" applyBorder="0" applyAlignment="0" applyProtection="0"/>
    <xf numFmtId="0" fontId="107" fillId="58" borderId="0" applyNumberFormat="0" applyBorder="0" applyAlignment="0" applyProtection="0"/>
    <xf numFmtId="0" fontId="107" fillId="63" borderId="0" applyNumberFormat="0" applyBorder="0" applyAlignment="0" applyProtection="0"/>
    <xf numFmtId="0" fontId="108" fillId="51" borderId="88" applyNumberFormat="0" applyAlignment="0" applyProtection="0"/>
    <xf numFmtId="0" fontId="109" fillId="64" borderId="87" applyNumberFormat="0" applyAlignment="0" applyProtection="0"/>
    <xf numFmtId="0" fontId="110" fillId="64" borderId="88" applyNumberFormat="0" applyAlignment="0" applyProtection="0"/>
    <xf numFmtId="0" fontId="111" fillId="0" borderId="91" applyNumberFormat="0" applyFill="0" applyAlignment="0" applyProtection="0"/>
    <xf numFmtId="0" fontId="112" fillId="0" borderId="92" applyNumberFormat="0" applyFill="0" applyAlignment="0" applyProtection="0"/>
    <xf numFmtId="0" fontId="113" fillId="0" borderId="93" applyNumberFormat="0" applyFill="0" applyAlignment="0" applyProtection="0"/>
    <xf numFmtId="0" fontId="113" fillId="0" borderId="0" applyNumberFormat="0" applyFill="0" applyBorder="0" applyAlignment="0" applyProtection="0"/>
    <xf numFmtId="0" fontId="114" fillId="0" borderId="90" applyNumberFormat="0" applyFill="0" applyAlignment="0" applyProtection="0"/>
    <xf numFmtId="0" fontId="115" fillId="65" borderId="89" applyNumberFormat="0" applyAlignment="0" applyProtection="0"/>
    <xf numFmtId="0" fontId="116" fillId="0" borderId="0" applyNumberFormat="0" applyFill="0" applyBorder="0" applyAlignment="0" applyProtection="0"/>
    <xf numFmtId="0" fontId="117" fillId="66" borderId="0" applyNumberFormat="0" applyBorder="0" applyAlignment="0" applyProtection="0"/>
    <xf numFmtId="0" fontId="118" fillId="47" borderId="0" applyNumberFormat="0" applyBorder="0" applyAlignment="0" applyProtection="0"/>
    <xf numFmtId="0" fontId="119" fillId="0" borderId="0" applyNumberFormat="0" applyFill="0" applyBorder="0" applyAlignment="0" applyProtection="0"/>
    <xf numFmtId="0" fontId="4" fillId="67" borderId="95" applyNumberFormat="0" applyFont="0" applyAlignment="0" applyProtection="0"/>
    <xf numFmtId="0" fontId="4" fillId="67" borderId="95" applyNumberFormat="0" applyFont="0" applyAlignment="0" applyProtection="0"/>
    <xf numFmtId="0" fontId="120" fillId="0" borderId="94" applyNumberFormat="0" applyFill="0" applyAlignment="0" applyProtection="0"/>
    <xf numFmtId="0" fontId="121" fillId="0" borderId="0" applyNumberFormat="0" applyFill="0" applyBorder="0" applyAlignment="0" applyProtection="0"/>
    <xf numFmtId="0" fontId="122" fillId="48" borderId="0" applyNumberFormat="0" applyBorder="0" applyAlignment="0" applyProtection="0"/>
    <xf numFmtId="0" fontId="2" fillId="0" borderId="0"/>
    <xf numFmtId="169" fontId="147"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70" fontId="147" fillId="0" borderId="0" applyFont="0" applyFill="0" applyBorder="0" applyAlignment="0" applyProtection="0"/>
    <xf numFmtId="0" fontId="4" fillId="0" borderId="0" applyFont="0" applyFill="0" applyBorder="0" applyAlignment="0" applyProtection="0"/>
    <xf numFmtId="171" fontId="147" fillId="0" borderId="0" applyFont="0" applyFill="0" applyBorder="0" applyAlignment="0" applyProtection="0"/>
    <xf numFmtId="172" fontId="147" fillId="0" borderId="0" applyFont="0" applyFill="0" applyBorder="0" applyAlignment="0" applyProtection="0"/>
    <xf numFmtId="0" fontId="4" fillId="0" borderId="0" applyFont="0" applyFill="0" applyBorder="0" applyAlignment="0" applyProtection="0"/>
    <xf numFmtId="173" fontId="148" fillId="0" borderId="0" applyFont="0" applyFill="0" applyBorder="0" applyAlignment="0" applyProtection="0"/>
    <xf numFmtId="174" fontId="148" fillId="0" borderId="0" applyFont="0" applyFill="0" applyBorder="0" applyAlignment="0" applyProtection="0"/>
    <xf numFmtId="0" fontId="4" fillId="0" borderId="0"/>
    <xf numFmtId="0" fontId="4" fillId="0" borderId="0"/>
    <xf numFmtId="0" fontId="4" fillId="0" borderId="0"/>
    <xf numFmtId="175" fontId="4" fillId="0" borderId="0" applyFont="0" applyFill="0" applyBorder="0" applyAlignment="0" applyProtection="0"/>
    <xf numFmtId="176" fontId="147"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40" fontId="147"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4" fillId="0" borderId="0" applyFill="0" applyBorder="0" applyAlignment="0" applyProtection="0"/>
    <xf numFmtId="0" fontId="4" fillId="0" borderId="0" applyFill="0" applyBorder="0" applyAlignment="0" applyProtection="0"/>
    <xf numFmtId="0" fontId="4" fillId="0" borderId="0" applyFont="0" applyFill="0" applyBorder="0" applyAlignment="0" applyProtection="0"/>
    <xf numFmtId="0" fontId="4" fillId="0" borderId="0" applyFill="0" applyBorder="0" applyAlignment="0" applyProtection="0"/>
    <xf numFmtId="0" fontId="4" fillId="0" borderId="0" applyFill="0" applyBorder="0" applyAlignment="0" applyProtection="0"/>
    <xf numFmtId="0" fontId="4" fillId="0" borderId="0" applyFont="0" applyFill="0" applyBorder="0" applyAlignment="0" applyProtection="0"/>
    <xf numFmtId="0" fontId="4" fillId="0" borderId="0" applyFill="0" applyBorder="0" applyAlignment="0" applyProtection="0"/>
    <xf numFmtId="0" fontId="4" fillId="0" borderId="0" applyFill="0" applyBorder="0" applyAlignment="0" applyProtection="0"/>
    <xf numFmtId="0" fontId="4" fillId="0" borderId="0" applyFont="0" applyFill="0" applyBorder="0" applyAlignment="0" applyProtection="0"/>
    <xf numFmtId="0" fontId="4" fillId="0" borderId="0" applyFill="0" applyBorder="0" applyAlignment="0" applyProtection="0"/>
    <xf numFmtId="0" fontId="4" fillId="0" borderId="0" applyFill="0" applyBorder="0" applyAlignment="0" applyProtection="0"/>
    <xf numFmtId="176" fontId="147" fillId="0" borderId="0" applyFont="0" applyFill="0" applyBorder="0" applyAlignment="0" applyProtection="0"/>
    <xf numFmtId="38" fontId="4" fillId="0" borderId="0" applyFill="0" applyBorder="0" applyAlignment="0" applyProtection="0"/>
    <xf numFmtId="38" fontId="4" fillId="0" borderId="0" applyFill="0" applyBorder="0" applyAlignment="0" applyProtection="0"/>
    <xf numFmtId="176" fontId="147" fillId="0" borderId="0" applyFont="0" applyFill="0" applyBorder="0" applyAlignment="0" applyProtection="0"/>
    <xf numFmtId="38" fontId="4" fillId="0" borderId="0" applyFill="0" applyBorder="0" applyAlignment="0" applyProtection="0"/>
    <xf numFmtId="38" fontId="4" fillId="0" borderId="0" applyFill="0" applyBorder="0" applyAlignment="0" applyProtection="0"/>
    <xf numFmtId="176" fontId="147" fillId="0" borderId="0" applyFont="0" applyFill="0" applyBorder="0" applyAlignment="0" applyProtection="0"/>
    <xf numFmtId="38" fontId="4" fillId="0" borderId="0" applyFill="0" applyBorder="0" applyAlignment="0" applyProtection="0"/>
    <xf numFmtId="38" fontId="4" fillId="0" borderId="0" applyFill="0" applyBorder="0" applyAlignment="0" applyProtection="0"/>
    <xf numFmtId="177" fontId="4" fillId="0" borderId="0" applyFont="0" applyFill="0" applyBorder="0" applyAlignment="0" applyProtection="0"/>
    <xf numFmtId="177" fontId="4" fillId="0" borderId="0" applyFill="0" applyBorder="0" applyAlignment="0" applyProtection="0"/>
    <xf numFmtId="177" fontId="4" fillId="0" borderId="0" applyFill="0" applyBorder="0" applyAlignment="0" applyProtection="0"/>
    <xf numFmtId="178" fontId="4" fillId="0" borderId="0" applyFont="0" applyFill="0" applyBorder="0" applyAlignment="0" applyProtection="0"/>
    <xf numFmtId="179" fontId="4" fillId="0" borderId="0" applyFill="0" applyBorder="0" applyAlignment="0" applyProtection="0"/>
    <xf numFmtId="179" fontId="4" fillId="0" borderId="0" applyFill="0" applyBorder="0" applyAlignment="0" applyProtection="0"/>
    <xf numFmtId="174" fontId="4" fillId="0" borderId="0" applyFont="0" applyFill="0" applyBorder="0" applyAlignment="0" applyProtection="0"/>
    <xf numFmtId="180" fontId="4" fillId="0" borderId="0" applyFill="0" applyBorder="0" applyAlignment="0" applyProtection="0"/>
    <xf numFmtId="180" fontId="4" fillId="0" borderId="0" applyFill="0" applyBorder="0" applyAlignment="0" applyProtection="0"/>
    <xf numFmtId="181" fontId="4" fillId="0" borderId="0" applyFont="0" applyFill="0" applyBorder="0" applyAlignment="0" applyProtection="0"/>
    <xf numFmtId="182" fontId="4" fillId="0" borderId="0" applyFill="0" applyBorder="0" applyAlignment="0" applyProtection="0"/>
    <xf numFmtId="182" fontId="4" fillId="0" borderId="0" applyFill="0" applyBorder="0" applyAlignment="0" applyProtection="0"/>
    <xf numFmtId="175" fontId="4" fillId="0" borderId="0" applyFont="0" applyFill="0" applyBorder="0" applyAlignment="0" applyProtection="0"/>
    <xf numFmtId="175" fontId="4" fillId="0" borderId="0" applyFill="0" applyBorder="0" applyAlignment="0" applyProtection="0"/>
    <xf numFmtId="175" fontId="4" fillId="0" borderId="0" applyFill="0" applyBorder="0" applyAlignment="0" applyProtection="0"/>
    <xf numFmtId="175" fontId="4" fillId="0" borderId="0" applyFont="0" applyFill="0" applyBorder="0" applyAlignment="0" applyProtection="0"/>
    <xf numFmtId="175" fontId="4" fillId="0" borderId="0" applyFill="0" applyBorder="0" applyAlignment="0" applyProtection="0"/>
    <xf numFmtId="175" fontId="4" fillId="0" borderId="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175" fontId="4" fillId="0" borderId="0" applyFont="0" applyFill="0" applyBorder="0" applyAlignment="0" applyProtection="0"/>
    <xf numFmtId="175" fontId="4" fillId="0" borderId="0" applyFill="0" applyBorder="0" applyAlignment="0" applyProtection="0"/>
    <xf numFmtId="175" fontId="4" fillId="0" borderId="0" applyFill="0" applyBorder="0" applyAlignment="0" applyProtection="0"/>
    <xf numFmtId="177" fontId="4" fillId="0" borderId="0" applyFont="0" applyFill="0" applyBorder="0" applyAlignment="0" applyProtection="0"/>
    <xf numFmtId="177" fontId="4" fillId="0" borderId="0" applyFill="0" applyBorder="0" applyAlignment="0" applyProtection="0"/>
    <xf numFmtId="177" fontId="4" fillId="0" borderId="0" applyFill="0" applyBorder="0" applyAlignment="0" applyProtection="0"/>
    <xf numFmtId="178" fontId="4" fillId="0" borderId="0" applyFont="0" applyFill="0" applyBorder="0" applyAlignment="0" applyProtection="0"/>
    <xf numFmtId="179" fontId="4" fillId="0" borderId="0" applyFill="0" applyBorder="0" applyAlignment="0" applyProtection="0"/>
    <xf numFmtId="179" fontId="4" fillId="0" borderId="0" applyFill="0" applyBorder="0" applyAlignment="0" applyProtection="0"/>
    <xf numFmtId="175" fontId="4" fillId="0" borderId="0" applyFill="0" applyBorder="0" applyAlignment="0" applyProtection="0"/>
    <xf numFmtId="175" fontId="4" fillId="0" borderId="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4" fillId="0" borderId="0" applyFill="0" applyBorder="0" applyAlignment="0" applyProtection="0"/>
    <xf numFmtId="0" fontId="4" fillId="0" borderId="0" applyFill="0" applyBorder="0" applyAlignment="0" applyProtection="0"/>
    <xf numFmtId="0" fontId="4" fillId="0" borderId="0" applyFill="0" applyBorder="0" applyAlignment="0" applyProtection="0"/>
    <xf numFmtId="0" fontId="4" fillId="0" borderId="0" applyFill="0" applyBorder="0" applyAlignment="0" applyProtection="0"/>
    <xf numFmtId="178" fontId="4" fillId="0" borderId="0" applyFont="0" applyFill="0" applyBorder="0" applyAlignment="0" applyProtection="0"/>
    <xf numFmtId="179" fontId="4" fillId="0" borderId="0" applyFill="0" applyBorder="0" applyAlignment="0" applyProtection="0"/>
    <xf numFmtId="179" fontId="4" fillId="0" borderId="0" applyFill="0" applyBorder="0" applyAlignment="0" applyProtection="0"/>
    <xf numFmtId="177" fontId="4" fillId="0" borderId="0" applyFont="0" applyFill="0" applyBorder="0" applyAlignment="0" applyProtection="0"/>
    <xf numFmtId="177" fontId="4" fillId="0" borderId="0" applyFill="0" applyBorder="0" applyAlignment="0" applyProtection="0"/>
    <xf numFmtId="177" fontId="4" fillId="0" borderId="0" applyFill="0" applyBorder="0" applyAlignment="0" applyProtection="0"/>
    <xf numFmtId="0" fontId="4" fillId="0" borderId="18">
      <alignment horizontal="right"/>
    </xf>
    <xf numFmtId="0" fontId="4" fillId="0" borderId="18">
      <alignment horizontal="right"/>
    </xf>
    <xf numFmtId="183" fontId="4" fillId="0" borderId="0">
      <alignment horizontal="right"/>
    </xf>
    <xf numFmtId="183" fontId="4" fillId="0" borderId="0">
      <alignment horizontal="right"/>
    </xf>
    <xf numFmtId="184" fontId="4" fillId="0" borderId="0">
      <alignment horizontal="right"/>
    </xf>
    <xf numFmtId="185" fontId="4" fillId="0" borderId="0">
      <alignment horizontal="right"/>
    </xf>
    <xf numFmtId="186" fontId="4" fillId="0" borderId="0">
      <alignment horizontal="right"/>
    </xf>
    <xf numFmtId="186" fontId="4" fillId="0" borderId="0">
      <alignment horizontal="right"/>
    </xf>
    <xf numFmtId="185" fontId="4" fillId="0" borderId="0">
      <alignment horizontal="right"/>
    </xf>
    <xf numFmtId="186" fontId="4" fillId="0" borderId="0">
      <alignment horizontal="right"/>
    </xf>
    <xf numFmtId="186" fontId="4" fillId="0" borderId="0">
      <alignment horizontal="right"/>
    </xf>
    <xf numFmtId="187" fontId="4" fillId="0" borderId="0">
      <alignment horizontal="right"/>
    </xf>
    <xf numFmtId="187" fontId="4" fillId="0" borderId="0">
      <alignment horizontal="right"/>
    </xf>
    <xf numFmtId="188" fontId="4" fillId="0" borderId="0">
      <alignment horizontal="right"/>
    </xf>
    <xf numFmtId="189" fontId="4" fillId="0" borderId="0">
      <alignment horizontal="right"/>
    </xf>
    <xf numFmtId="189" fontId="4" fillId="0" borderId="0">
      <alignment horizontal="right"/>
    </xf>
    <xf numFmtId="188" fontId="4" fillId="0" borderId="0">
      <alignment horizontal="right"/>
    </xf>
    <xf numFmtId="189" fontId="4" fillId="0" borderId="0">
      <alignment horizontal="right"/>
    </xf>
    <xf numFmtId="189" fontId="4" fillId="0" borderId="0">
      <alignment horizontal="right"/>
    </xf>
    <xf numFmtId="183" fontId="4" fillId="0" borderId="0">
      <alignment horizontal="right"/>
    </xf>
    <xf numFmtId="183" fontId="4" fillId="0" borderId="0">
      <alignment horizontal="right"/>
    </xf>
    <xf numFmtId="188" fontId="4" fillId="0" borderId="0">
      <alignment horizontal="right"/>
    </xf>
    <xf numFmtId="189" fontId="4" fillId="0" borderId="0">
      <alignment horizontal="right"/>
    </xf>
    <xf numFmtId="189" fontId="4" fillId="0" borderId="0">
      <alignment horizontal="right"/>
    </xf>
    <xf numFmtId="188" fontId="4" fillId="0" borderId="0">
      <alignment horizontal="right"/>
    </xf>
    <xf numFmtId="189" fontId="4" fillId="0" borderId="0">
      <alignment horizontal="right"/>
    </xf>
    <xf numFmtId="189" fontId="4" fillId="0" borderId="0">
      <alignment horizontal="right"/>
    </xf>
    <xf numFmtId="183" fontId="4" fillId="0" borderId="0">
      <alignment horizontal="right"/>
    </xf>
    <xf numFmtId="183" fontId="4" fillId="0" borderId="0">
      <alignment horizontal="right"/>
    </xf>
    <xf numFmtId="184" fontId="4" fillId="0" borderId="0">
      <alignment horizontal="right"/>
    </xf>
    <xf numFmtId="185" fontId="4" fillId="0" borderId="0">
      <alignment horizontal="right"/>
    </xf>
    <xf numFmtId="186" fontId="4" fillId="0" borderId="0">
      <alignment horizontal="right"/>
    </xf>
    <xf numFmtId="186" fontId="4" fillId="0" borderId="0">
      <alignment horizontal="right"/>
    </xf>
    <xf numFmtId="185" fontId="4" fillId="0" borderId="0">
      <alignment horizontal="right"/>
    </xf>
    <xf numFmtId="186" fontId="4" fillId="0" borderId="0">
      <alignment horizontal="right"/>
    </xf>
    <xf numFmtId="186" fontId="4" fillId="0" borderId="0">
      <alignment horizontal="right"/>
    </xf>
    <xf numFmtId="187" fontId="4" fillId="0" borderId="0">
      <alignment horizontal="right"/>
    </xf>
    <xf numFmtId="187" fontId="4" fillId="0" borderId="0">
      <alignment horizontal="right"/>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97" fillId="46" borderId="0" applyNumberFormat="0" applyBorder="0" applyAlignment="0" applyProtection="0"/>
    <xf numFmtId="0" fontId="149" fillId="23" borderId="0" applyNumberFormat="0" applyBorder="0" applyAlignment="0" applyProtection="0"/>
    <xf numFmtId="0" fontId="97"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97" fillId="52"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97" fillId="47" borderId="0" applyNumberFormat="0" applyBorder="0" applyAlignment="0" applyProtection="0"/>
    <xf numFmtId="0" fontId="149" fillId="27" borderId="0" applyNumberFormat="0" applyBorder="0" applyAlignment="0" applyProtection="0"/>
    <xf numFmtId="0" fontId="97" fillId="5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97" fillId="53"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97" fillId="48" borderId="0" applyNumberFormat="0" applyBorder="0" applyAlignment="0" applyProtection="0"/>
    <xf numFmtId="0" fontId="149" fillId="31" borderId="0" applyNumberFormat="0" applyBorder="0" applyAlignment="0" applyProtection="0"/>
    <xf numFmtId="0" fontId="97" fillId="6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97" fillId="67"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97" fillId="49" borderId="0" applyNumberFormat="0" applyBorder="0" applyAlignment="0" applyProtection="0"/>
    <xf numFmtId="0" fontId="149" fillId="35" borderId="0" applyNumberFormat="0" applyBorder="0" applyAlignment="0" applyProtection="0"/>
    <xf numFmtId="0" fontId="97" fillId="51"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97" fillId="51"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97" fillId="50" borderId="0" applyNumberFormat="0" applyBorder="0" applyAlignment="0" applyProtection="0"/>
    <xf numFmtId="0" fontId="149" fillId="39" borderId="0" applyNumberFormat="0" applyBorder="0" applyAlignment="0" applyProtection="0"/>
    <xf numFmtId="0" fontId="97" fillId="50"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97" fillId="51" borderId="0" applyNumberFormat="0" applyBorder="0" applyAlignment="0" applyProtection="0"/>
    <xf numFmtId="0" fontId="149" fillId="43" borderId="0" applyNumberFormat="0" applyBorder="0" applyAlignment="0" applyProtection="0"/>
    <xf numFmtId="0" fontId="97" fillId="67"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97" fillId="67"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97" fillId="46" borderId="0" applyNumberFormat="0" applyBorder="0" applyAlignment="0" applyProtection="0"/>
    <xf numFmtId="0" fontId="97" fillId="47" borderId="0" applyNumberFormat="0" applyBorder="0" applyAlignment="0" applyProtection="0"/>
    <xf numFmtId="0" fontId="97" fillId="48" borderId="0" applyNumberFormat="0" applyBorder="0" applyAlignment="0" applyProtection="0"/>
    <xf numFmtId="0" fontId="97" fillId="49"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97" fillId="67" borderId="0" applyNumberFormat="0" applyBorder="0" applyAlignment="0" applyProtection="0"/>
    <xf numFmtId="0" fontId="97" fillId="69" borderId="0" applyNumberFormat="0" applyBorder="0" applyAlignment="0" applyProtection="0"/>
    <xf numFmtId="0" fontId="97" fillId="69" borderId="0" applyNumberFormat="0" applyBorder="0" applyAlignment="0" applyProtection="0"/>
    <xf numFmtId="0" fontId="97" fillId="52" borderId="0" applyNumberFormat="0" applyBorder="0" applyAlignment="0" applyProtection="0"/>
    <xf numFmtId="0" fontId="97" fillId="51" borderId="0" applyNumberFormat="0" applyBorder="0" applyAlignment="0" applyProtection="0"/>
    <xf numFmtId="0" fontId="97" fillId="51" borderId="0" applyNumberFormat="0" applyBorder="0" applyAlignment="0" applyProtection="0"/>
    <xf numFmtId="0" fontId="97" fillId="53" borderId="0" applyNumberFormat="0" applyBorder="0" applyAlignment="0" applyProtection="0"/>
    <xf numFmtId="0" fontId="97" fillId="67" borderId="0" applyNumberFormat="0" applyBorder="0" applyAlignment="0" applyProtection="0"/>
    <xf numFmtId="0" fontId="97" fillId="67" borderId="0" applyNumberFormat="0" applyBorder="0" applyAlignment="0" applyProtection="0"/>
    <xf numFmtId="0" fontId="97" fillId="69" borderId="0" applyNumberFormat="0" applyBorder="0" applyAlignment="0" applyProtection="0"/>
    <xf numFmtId="0" fontId="97" fillId="69" borderId="0" applyNumberFormat="0" applyBorder="0" applyAlignment="0" applyProtection="0"/>
    <xf numFmtId="0" fontId="97" fillId="51" borderId="0" applyNumberFormat="0" applyBorder="0" applyAlignment="0" applyProtection="0"/>
    <xf numFmtId="0" fontId="97" fillId="50"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97" fillId="51" borderId="0" applyNumberFormat="0" applyBorder="0" applyAlignment="0" applyProtection="0"/>
    <xf numFmtId="0" fontId="97" fillId="67"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97" fillId="52" borderId="0" applyNumberFormat="0" applyBorder="0" applyAlignment="0" applyProtection="0"/>
    <xf numFmtId="0" fontId="149" fillId="24" borderId="0" applyNumberFormat="0" applyBorder="0" applyAlignment="0" applyProtection="0"/>
    <xf numFmtId="0" fontId="97" fillId="50"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97" fillId="50"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97" fillId="53" borderId="0" applyNumberFormat="0" applyBorder="0" applyAlignment="0" applyProtection="0"/>
    <xf numFmtId="0" fontId="149" fillId="28" borderId="0" applyNumberFormat="0" applyBorder="0" applyAlignment="0" applyProtection="0"/>
    <xf numFmtId="0" fontId="97" fillId="53"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97" fillId="54" borderId="0" applyNumberFormat="0" applyBorder="0" applyAlignment="0" applyProtection="0"/>
    <xf numFmtId="0" fontId="149" fillId="32" borderId="0" applyNumberFormat="0" applyBorder="0" applyAlignment="0" applyProtection="0"/>
    <xf numFmtId="0" fontId="97" fillId="66"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97" fillId="6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97" fillId="49" borderId="0" applyNumberFormat="0" applyBorder="0" applyAlignment="0" applyProtection="0"/>
    <xf numFmtId="0" fontId="149" fillId="36" borderId="0" applyNumberFormat="0" applyBorder="0" applyAlignment="0" applyProtection="0"/>
    <xf numFmtId="0" fontId="97" fillId="47"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97" fillId="47"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97" fillId="52" borderId="0" applyNumberFormat="0" applyBorder="0" applyAlignment="0" applyProtection="0"/>
    <xf numFmtId="0" fontId="149" fillId="40" borderId="0" applyNumberFormat="0" applyBorder="0" applyAlignment="0" applyProtection="0"/>
    <xf numFmtId="0" fontId="97" fillId="5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97" fillId="5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97" fillId="55" borderId="0" applyNumberFormat="0" applyBorder="0" applyAlignment="0" applyProtection="0"/>
    <xf numFmtId="0" fontId="149" fillId="44" borderId="0" applyNumberFormat="0" applyBorder="0" applyAlignment="0" applyProtection="0"/>
    <xf numFmtId="0" fontId="97" fillId="67"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97" fillId="67"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97" fillId="52" borderId="0" applyNumberFormat="0" applyBorder="0" applyAlignment="0" applyProtection="0"/>
    <xf numFmtId="0" fontId="97" fillId="50" borderId="0" applyNumberFormat="0" applyBorder="0" applyAlignment="0" applyProtection="0"/>
    <xf numFmtId="0" fontId="97" fillId="50" borderId="0" applyNumberFormat="0" applyBorder="0" applyAlignment="0" applyProtection="0"/>
    <xf numFmtId="0" fontId="97" fillId="53" borderId="0" applyNumberFormat="0" applyBorder="0" applyAlignment="0" applyProtection="0"/>
    <xf numFmtId="0" fontId="97" fillId="54" borderId="0" applyNumberFormat="0" applyBorder="0" applyAlignment="0" applyProtection="0"/>
    <xf numFmtId="0" fontId="97" fillId="49" borderId="0" applyNumberFormat="0" applyBorder="0" applyAlignment="0" applyProtection="0"/>
    <xf numFmtId="0" fontId="97" fillId="47" borderId="0" applyNumberFormat="0" applyBorder="0" applyAlignment="0" applyProtection="0"/>
    <xf numFmtId="0" fontId="97" fillId="47" borderId="0" applyNumberFormat="0" applyBorder="0" applyAlignment="0" applyProtection="0"/>
    <xf numFmtId="0" fontId="97" fillId="52" borderId="0" applyNumberFormat="0" applyBorder="0" applyAlignment="0" applyProtection="0"/>
    <xf numFmtId="0" fontId="97" fillId="50" borderId="0" applyNumberFormat="0" applyBorder="0" applyAlignment="0" applyProtection="0"/>
    <xf numFmtId="0" fontId="97" fillId="50" borderId="0" applyNumberFormat="0" applyBorder="0" applyAlignment="0" applyProtection="0"/>
    <xf numFmtId="0" fontId="97" fillId="55" borderId="0" applyNumberFormat="0" applyBorder="0" applyAlignment="0" applyProtection="0"/>
    <xf numFmtId="0" fontId="97" fillId="67" borderId="0" applyNumberFormat="0" applyBorder="0" applyAlignment="0" applyProtection="0"/>
    <xf numFmtId="0" fontId="97" fillId="67" borderId="0" applyNumberFormat="0" applyBorder="0" applyAlignment="0" applyProtection="0"/>
    <xf numFmtId="0" fontId="97" fillId="64" borderId="0" applyNumberFormat="0" applyBorder="0" applyAlignment="0" applyProtection="0"/>
    <xf numFmtId="0" fontId="97" fillId="64" borderId="0" applyNumberFormat="0" applyBorder="0" applyAlignment="0" applyProtection="0"/>
    <xf numFmtId="0" fontId="97" fillId="50" borderId="0" applyNumberFormat="0" applyBorder="0" applyAlignment="0" applyProtection="0"/>
    <xf numFmtId="0" fontId="97" fillId="53" borderId="0" applyNumberFormat="0" applyBorder="0" applyAlignment="0" applyProtection="0"/>
    <xf numFmtId="0" fontId="97" fillId="53" borderId="0" applyNumberFormat="0" applyBorder="0" applyAlignment="0" applyProtection="0"/>
    <xf numFmtId="0" fontId="97" fillId="66" borderId="0" applyNumberFormat="0" applyBorder="0" applyAlignment="0" applyProtection="0"/>
    <xf numFmtId="0" fontId="97" fillId="66" borderId="0" applyNumberFormat="0" applyBorder="0" applyAlignment="0" applyProtection="0"/>
    <xf numFmtId="0" fontId="97" fillId="64" borderId="0" applyNumberFormat="0" applyBorder="0" applyAlignment="0" applyProtection="0"/>
    <xf numFmtId="0" fontId="97" fillId="64" borderId="0" applyNumberFormat="0" applyBorder="0" applyAlignment="0" applyProtection="0"/>
    <xf numFmtId="0" fontId="97" fillId="47" borderId="0" applyNumberFormat="0" applyBorder="0" applyAlignment="0" applyProtection="0"/>
    <xf numFmtId="0" fontId="97" fillId="52" borderId="0" applyNumberFormat="0" applyBorder="0" applyAlignment="0" applyProtection="0"/>
    <xf numFmtId="0" fontId="97" fillId="52"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97" fillId="51" borderId="0" applyNumberFormat="0" applyBorder="0" applyAlignment="0" applyProtection="0"/>
    <xf numFmtId="0" fontId="97" fillId="67" borderId="0" applyNumberFormat="0" applyBorder="0" applyAlignment="0" applyProtection="0"/>
    <xf numFmtId="0" fontId="79" fillId="56" borderId="0" applyNumberFormat="0" applyBorder="0" applyAlignment="0" applyProtection="0"/>
    <xf numFmtId="0" fontId="150" fillId="25" borderId="0" applyNumberFormat="0" applyBorder="0" applyAlignment="0" applyProtection="0"/>
    <xf numFmtId="0" fontId="79" fillId="50" borderId="0" applyNumberFormat="0" applyBorder="0" applyAlignment="0" applyProtection="0"/>
    <xf numFmtId="0" fontId="73" fillId="25" borderId="0" applyNumberFormat="0" applyBorder="0" applyAlignment="0" applyProtection="0"/>
    <xf numFmtId="0" fontId="79" fillId="50" borderId="0" applyNumberFormat="0" applyBorder="0" applyAlignment="0" applyProtection="0"/>
    <xf numFmtId="0" fontId="79" fillId="53" borderId="0" applyNumberFormat="0" applyBorder="0" applyAlignment="0" applyProtection="0"/>
    <xf numFmtId="0" fontId="150" fillId="29" borderId="0" applyNumberFormat="0" applyBorder="0" applyAlignment="0" applyProtection="0"/>
    <xf numFmtId="0" fontId="79" fillId="63" borderId="0" applyNumberFormat="0" applyBorder="0" applyAlignment="0" applyProtection="0"/>
    <xf numFmtId="0" fontId="73" fillId="29" borderId="0" applyNumberFormat="0" applyBorder="0" applyAlignment="0" applyProtection="0"/>
    <xf numFmtId="0" fontId="79" fillId="63" borderId="0" applyNumberFormat="0" applyBorder="0" applyAlignment="0" applyProtection="0"/>
    <xf numFmtId="0" fontId="73" fillId="33" borderId="0" applyNumberFormat="0" applyBorder="0" applyAlignment="0" applyProtection="0"/>
    <xf numFmtId="0" fontId="79" fillId="54" borderId="0" applyNumberFormat="0" applyBorder="0" applyAlignment="0" applyProtection="0"/>
    <xf numFmtId="0" fontId="150" fillId="33" borderId="0" applyNumberFormat="0" applyBorder="0" applyAlignment="0" applyProtection="0"/>
    <xf numFmtId="0" fontId="79" fillId="55" borderId="0" applyNumberFormat="0" applyBorder="0" applyAlignment="0" applyProtection="0"/>
    <xf numFmtId="0" fontId="73" fillId="33" borderId="0" applyNumberFormat="0" applyBorder="0" applyAlignment="0" applyProtection="0"/>
    <xf numFmtId="0" fontId="79" fillId="55" borderId="0" applyNumberFormat="0" applyBorder="0" applyAlignment="0" applyProtection="0"/>
    <xf numFmtId="0" fontId="73" fillId="37" borderId="0" applyNumberFormat="0" applyBorder="0" applyAlignment="0" applyProtection="0"/>
    <xf numFmtId="0" fontId="79" fillId="57" borderId="0" applyNumberFormat="0" applyBorder="0" applyAlignment="0" applyProtection="0"/>
    <xf numFmtId="0" fontId="150" fillId="37" borderId="0" applyNumberFormat="0" applyBorder="0" applyAlignment="0" applyProtection="0"/>
    <xf numFmtId="0" fontId="79" fillId="47" borderId="0" applyNumberFormat="0" applyBorder="0" applyAlignment="0" applyProtection="0"/>
    <xf numFmtId="0" fontId="73" fillId="37" borderId="0" applyNumberFormat="0" applyBorder="0" applyAlignment="0" applyProtection="0"/>
    <xf numFmtId="0" fontId="79" fillId="47" borderId="0" applyNumberFormat="0" applyBorder="0" applyAlignment="0" applyProtection="0"/>
    <xf numFmtId="0" fontId="79" fillId="58" borderId="0" applyNumberFormat="0" applyBorder="0" applyAlignment="0" applyProtection="0"/>
    <xf numFmtId="0" fontId="150" fillId="41" borderId="0" applyNumberFormat="0" applyBorder="0" applyAlignment="0" applyProtection="0"/>
    <xf numFmtId="0" fontId="79" fillId="50" borderId="0" applyNumberFormat="0" applyBorder="0" applyAlignment="0" applyProtection="0"/>
    <xf numFmtId="0" fontId="73" fillId="41" borderId="0" applyNumberFormat="0" applyBorder="0" applyAlignment="0" applyProtection="0"/>
    <xf numFmtId="0" fontId="79" fillId="50" borderId="0" applyNumberFormat="0" applyBorder="0" applyAlignment="0" applyProtection="0"/>
    <xf numFmtId="0" fontId="73" fillId="45" borderId="0" applyNumberFormat="0" applyBorder="0" applyAlignment="0" applyProtection="0"/>
    <xf numFmtId="0" fontId="79" fillId="59" borderId="0" applyNumberFormat="0" applyBorder="0" applyAlignment="0" applyProtection="0"/>
    <xf numFmtId="0" fontId="150" fillId="45" borderId="0" applyNumberFormat="0" applyBorder="0" applyAlignment="0" applyProtection="0"/>
    <xf numFmtId="0" fontId="79" fillId="53" borderId="0" applyNumberFormat="0" applyBorder="0" applyAlignment="0" applyProtection="0"/>
    <xf numFmtId="0" fontId="73" fillId="45" borderId="0" applyNumberFormat="0" applyBorder="0" applyAlignment="0" applyProtection="0"/>
    <xf numFmtId="0" fontId="79" fillId="53" borderId="0" applyNumberFormat="0" applyBorder="0" applyAlignment="0" applyProtection="0"/>
    <xf numFmtId="0" fontId="79" fillId="56" borderId="0" applyNumberFormat="0" applyBorder="0" applyAlignment="0" applyProtection="0"/>
    <xf numFmtId="0" fontId="79" fillId="58" borderId="0" applyNumberFormat="0" applyBorder="0" applyAlignment="0" applyProtection="0"/>
    <xf numFmtId="0" fontId="79" fillId="50" borderId="0" applyNumberFormat="0" applyBorder="0" applyAlignment="0" applyProtection="0"/>
    <xf numFmtId="0" fontId="79" fillId="50" borderId="0" applyNumberFormat="0" applyBorder="0" applyAlignment="0" applyProtection="0"/>
    <xf numFmtId="0" fontId="79" fillId="50" borderId="0" applyNumberFormat="0" applyBorder="0" applyAlignment="0" applyProtection="0"/>
    <xf numFmtId="0" fontId="79" fillId="53" borderId="0" applyNumberFormat="0" applyBorder="0" applyAlignment="0" applyProtection="0"/>
    <xf numFmtId="0" fontId="79" fillId="53" borderId="0" applyNumberFormat="0" applyBorder="0" applyAlignment="0" applyProtection="0"/>
    <xf numFmtId="0" fontId="79" fillId="63" borderId="0" applyNumberFormat="0" applyBorder="0" applyAlignment="0" applyProtection="0"/>
    <xf numFmtId="0" fontId="79" fillId="63" borderId="0" applyNumberFormat="0" applyBorder="0" applyAlignment="0" applyProtection="0"/>
    <xf numFmtId="0" fontId="79" fillId="63" borderId="0" applyNumberFormat="0" applyBorder="0" applyAlignment="0" applyProtection="0"/>
    <xf numFmtId="0" fontId="79" fillId="54" borderId="0" applyNumberFormat="0" applyBorder="0" applyAlignment="0" applyProtection="0"/>
    <xf numFmtId="0" fontId="79" fillId="66" borderId="0" applyNumberFormat="0" applyBorder="0" applyAlignment="0" applyProtection="0"/>
    <xf numFmtId="0" fontId="79" fillId="55" borderId="0" applyNumberFormat="0" applyBorder="0" applyAlignment="0" applyProtection="0"/>
    <xf numFmtId="0" fontId="79" fillId="57" borderId="0" applyNumberFormat="0" applyBorder="0" applyAlignment="0" applyProtection="0"/>
    <xf numFmtId="0" fontId="79" fillId="64" borderId="0" applyNumberFormat="0" applyBorder="0" applyAlignment="0" applyProtection="0"/>
    <xf numFmtId="0" fontId="79" fillId="47" borderId="0" applyNumberFormat="0" applyBorder="0" applyAlignment="0" applyProtection="0"/>
    <xf numFmtId="0" fontId="79" fillId="58" borderId="0" applyNumberFormat="0" applyBorder="0" applyAlignment="0" applyProtection="0"/>
    <xf numFmtId="0" fontId="79" fillId="58" borderId="0" applyNumberFormat="0" applyBorder="0" applyAlignment="0" applyProtection="0"/>
    <xf numFmtId="0" fontId="79" fillId="50" borderId="0" applyNumberFormat="0" applyBorder="0" applyAlignment="0" applyProtection="0"/>
    <xf numFmtId="0" fontId="79" fillId="50" borderId="0" applyNumberFormat="0" applyBorder="0" applyAlignment="0" applyProtection="0"/>
    <xf numFmtId="0" fontId="79" fillId="50" borderId="0" applyNumberFormat="0" applyBorder="0" applyAlignment="0" applyProtection="0"/>
    <xf numFmtId="0" fontId="79" fillId="59" borderId="0" applyNumberFormat="0" applyBorder="0" applyAlignment="0" applyProtection="0"/>
    <xf numFmtId="0" fontId="79" fillId="58" borderId="0" applyNumberFormat="0" applyBorder="0" applyAlignment="0" applyProtection="0"/>
    <xf numFmtId="0" fontId="79" fillId="50" borderId="0" applyNumberFormat="0" applyBorder="0" applyAlignment="0" applyProtection="0"/>
    <xf numFmtId="0" fontId="79" fillId="53" borderId="0" applyNumberFormat="0" applyBorder="0" applyAlignment="0" applyProtection="0"/>
    <xf numFmtId="0" fontId="79" fillId="63" borderId="0" applyNumberFormat="0" applyBorder="0" applyAlignment="0" applyProtection="0"/>
    <xf numFmtId="0" fontId="79" fillId="66" borderId="0" applyNumberFormat="0" applyBorder="0" applyAlignment="0" applyProtection="0"/>
    <xf numFmtId="0" fontId="79" fillId="55" borderId="0" applyNumberFormat="0" applyBorder="0" applyAlignment="0" applyProtection="0"/>
    <xf numFmtId="0" fontId="79" fillId="64" borderId="0" applyNumberFormat="0" applyBorder="0" applyAlignment="0" applyProtection="0"/>
    <xf numFmtId="0" fontId="79" fillId="47" borderId="0" applyNumberFormat="0" applyBorder="0" applyAlignment="0" applyProtection="0"/>
    <xf numFmtId="0" fontId="79" fillId="58" borderId="0" applyNumberFormat="0" applyBorder="0" applyAlignment="0" applyProtection="0"/>
    <xf numFmtId="0" fontId="79" fillId="50" borderId="0" applyNumberFormat="0" applyBorder="0" applyAlignment="0" applyProtection="0"/>
    <xf numFmtId="0" fontId="79" fillId="51" borderId="0" applyNumberFormat="0" applyBorder="0" applyAlignment="0" applyProtection="0"/>
    <xf numFmtId="0" fontId="79" fillId="53" borderId="0" applyNumberFormat="0" applyBorder="0" applyAlignment="0" applyProtection="0"/>
    <xf numFmtId="0" fontId="151" fillId="0" borderId="2" applyBorder="0"/>
    <xf numFmtId="0" fontId="79" fillId="58" borderId="0" applyNumberFormat="0" applyBorder="0" applyAlignment="0" applyProtection="0"/>
    <xf numFmtId="0" fontId="79" fillId="70" borderId="0" applyNumberFormat="0" applyBorder="0" applyAlignment="0" applyProtection="0"/>
    <xf numFmtId="0" fontId="79" fillId="70" borderId="0" applyNumberFormat="0" applyBorder="0" applyAlignment="0" applyProtection="0"/>
    <xf numFmtId="0" fontId="79" fillId="61" borderId="0" applyNumberFormat="0" applyBorder="0" applyAlignment="0" applyProtection="0"/>
    <xf numFmtId="0" fontId="79" fillId="63" borderId="0" applyNumberFormat="0" applyBorder="0" applyAlignment="0" applyProtection="0"/>
    <xf numFmtId="0" fontId="79" fillId="63" borderId="0" applyNumberFormat="0" applyBorder="0" applyAlignment="0" applyProtection="0"/>
    <xf numFmtId="0" fontId="79" fillId="62" borderId="0" applyNumberFormat="0" applyBorder="0" applyAlignment="0" applyProtection="0"/>
    <xf numFmtId="0" fontId="79" fillId="55" borderId="0" applyNumberFormat="0" applyBorder="0" applyAlignment="0" applyProtection="0"/>
    <xf numFmtId="0" fontId="79" fillId="55" borderId="0" applyNumberFormat="0" applyBorder="0" applyAlignment="0" applyProtection="0"/>
    <xf numFmtId="0" fontId="79" fillId="71" borderId="0" applyNumberFormat="0" applyBorder="0" applyAlignment="0" applyProtection="0"/>
    <xf numFmtId="0" fontId="79" fillId="71" borderId="0" applyNumberFormat="0" applyBorder="0" applyAlignment="0" applyProtection="0"/>
    <xf numFmtId="0" fontId="79" fillId="63" borderId="0" applyNumberFormat="0" applyBorder="0" applyAlignment="0" applyProtection="0"/>
    <xf numFmtId="0" fontId="79" fillId="61" borderId="0" applyNumberFormat="0" applyBorder="0" applyAlignment="0" applyProtection="0"/>
    <xf numFmtId="0" fontId="79" fillId="61" borderId="0" applyNumberFormat="0" applyBorder="0" applyAlignment="0" applyProtection="0"/>
    <xf numFmtId="0" fontId="79" fillId="70" borderId="0" applyNumberFormat="0" applyBorder="0" applyAlignment="0" applyProtection="0"/>
    <xf numFmtId="0" fontId="79" fillId="60" borderId="0" applyNumberFormat="0" applyBorder="0" applyAlignment="0" applyProtection="0"/>
    <xf numFmtId="0" fontId="79" fillId="70" borderId="0" applyNumberFormat="0" applyBorder="0" applyAlignment="0" applyProtection="0"/>
    <xf numFmtId="0" fontId="125" fillId="60" borderId="0" applyNumberFormat="0" applyBorder="0" applyAlignment="0" applyProtection="0"/>
    <xf numFmtId="0" fontId="73" fillId="22" borderId="0" applyNumberFormat="0" applyBorder="0" applyAlignment="0" applyProtection="0"/>
    <xf numFmtId="0" fontId="79" fillId="70" borderId="0" applyNumberFormat="0" applyBorder="0" applyAlignment="0" applyProtection="0"/>
    <xf numFmtId="0" fontId="150" fillId="22" borderId="0" applyNumberFormat="0" applyBorder="0" applyAlignment="0" applyProtection="0"/>
    <xf numFmtId="0" fontId="79" fillId="70" borderId="0" applyNumberFormat="0" applyBorder="0" applyAlignment="0" applyProtection="0"/>
    <xf numFmtId="0" fontId="73" fillId="22" borderId="0" applyNumberFormat="0" applyBorder="0" applyAlignment="0" applyProtection="0"/>
    <xf numFmtId="0" fontId="73" fillId="22" borderId="0" applyNumberFormat="0" applyBorder="0" applyAlignment="0" applyProtection="0"/>
    <xf numFmtId="0" fontId="79" fillId="63" borderId="0" applyNumberFormat="0" applyBorder="0" applyAlignment="0" applyProtection="0"/>
    <xf numFmtId="0" fontId="79" fillId="61" borderId="0" applyNumberFormat="0" applyBorder="0" applyAlignment="0" applyProtection="0"/>
    <xf numFmtId="0" fontId="79" fillId="63" borderId="0" applyNumberFormat="0" applyBorder="0" applyAlignment="0" applyProtection="0"/>
    <xf numFmtId="0" fontId="125" fillId="61" borderId="0" applyNumberFormat="0" applyBorder="0" applyAlignment="0" applyProtection="0"/>
    <xf numFmtId="0" fontId="73" fillId="26" borderId="0" applyNumberFormat="0" applyBorder="0" applyAlignment="0" applyProtection="0"/>
    <xf numFmtId="0" fontId="79" fillId="63" borderId="0" applyNumberFormat="0" applyBorder="0" applyAlignment="0" applyProtection="0"/>
    <xf numFmtId="0" fontId="150" fillId="26" borderId="0" applyNumberFormat="0" applyBorder="0" applyAlignment="0" applyProtection="0"/>
    <xf numFmtId="0" fontId="79" fillId="63" borderId="0" applyNumberFormat="0" applyBorder="0" applyAlignment="0" applyProtection="0"/>
    <xf numFmtId="0" fontId="73" fillId="26" borderId="0" applyNumberFormat="0" applyBorder="0" applyAlignment="0" applyProtection="0"/>
    <xf numFmtId="0" fontId="73" fillId="26" borderId="0" applyNumberFormat="0" applyBorder="0" applyAlignment="0" applyProtection="0"/>
    <xf numFmtId="0" fontId="79" fillId="55" borderId="0" applyNumberFormat="0" applyBorder="0" applyAlignment="0" applyProtection="0"/>
    <xf numFmtId="0" fontId="79" fillId="62" borderId="0" applyNumberFormat="0" applyBorder="0" applyAlignment="0" applyProtection="0"/>
    <xf numFmtId="0" fontId="79" fillId="55" borderId="0" applyNumberFormat="0" applyBorder="0" applyAlignment="0" applyProtection="0"/>
    <xf numFmtId="0" fontId="125" fillId="62" borderId="0" applyNumberFormat="0" applyBorder="0" applyAlignment="0" applyProtection="0"/>
    <xf numFmtId="0" fontId="73" fillId="30" borderId="0" applyNumberFormat="0" applyBorder="0" applyAlignment="0" applyProtection="0"/>
    <xf numFmtId="0" fontId="79" fillId="55" borderId="0" applyNumberFormat="0" applyBorder="0" applyAlignment="0" applyProtection="0"/>
    <xf numFmtId="0" fontId="150" fillId="30" borderId="0" applyNumberFormat="0" applyBorder="0" applyAlignment="0" applyProtection="0"/>
    <xf numFmtId="0" fontId="79" fillId="55" borderId="0" applyNumberFormat="0" applyBorder="0" applyAlignment="0" applyProtection="0"/>
    <xf numFmtId="0" fontId="73" fillId="30" borderId="0" applyNumberFormat="0" applyBorder="0" applyAlignment="0" applyProtection="0"/>
    <xf numFmtId="0" fontId="73" fillId="30" borderId="0" applyNumberFormat="0" applyBorder="0" applyAlignment="0" applyProtection="0"/>
    <xf numFmtId="0" fontId="79" fillId="71" borderId="0" applyNumberFormat="0" applyBorder="0" applyAlignment="0" applyProtection="0"/>
    <xf numFmtId="0" fontId="79" fillId="57" borderId="0" applyNumberFormat="0" applyBorder="0" applyAlignment="0" applyProtection="0"/>
    <xf numFmtId="0" fontId="79" fillId="71" borderId="0" applyNumberFormat="0" applyBorder="0" applyAlignment="0" applyProtection="0"/>
    <xf numFmtId="0" fontId="125" fillId="57" borderId="0" applyNumberFormat="0" applyBorder="0" applyAlignment="0" applyProtection="0"/>
    <xf numFmtId="0" fontId="73" fillId="34" borderId="0" applyNumberFormat="0" applyBorder="0" applyAlignment="0" applyProtection="0"/>
    <xf numFmtId="0" fontId="79" fillId="71" borderId="0" applyNumberFormat="0" applyBorder="0" applyAlignment="0" applyProtection="0"/>
    <xf numFmtId="0" fontId="150" fillId="34" borderId="0" applyNumberFormat="0" applyBorder="0" applyAlignment="0" applyProtection="0"/>
    <xf numFmtId="0" fontId="79" fillId="71" borderId="0" applyNumberFormat="0" applyBorder="0" applyAlignment="0" applyProtection="0"/>
    <xf numFmtId="0" fontId="73" fillId="34" borderId="0" applyNumberFormat="0" applyBorder="0" applyAlignment="0" applyProtection="0"/>
    <xf numFmtId="0" fontId="73" fillId="34" borderId="0" applyNumberFormat="0" applyBorder="0" applyAlignment="0" applyProtection="0"/>
    <xf numFmtId="0" fontId="125" fillId="58" borderId="0" applyNumberFormat="0" applyBorder="0" applyAlignment="0" applyProtection="0"/>
    <xf numFmtId="0" fontId="73" fillId="38" borderId="0" applyNumberFormat="0" applyBorder="0" applyAlignment="0" applyProtection="0"/>
    <xf numFmtId="0" fontId="150" fillId="38" borderId="0" applyNumberFormat="0" applyBorder="0" applyAlignment="0" applyProtection="0"/>
    <xf numFmtId="0" fontId="79" fillId="58" borderId="0" applyNumberFormat="0" applyBorder="0" applyAlignment="0" applyProtection="0"/>
    <xf numFmtId="0" fontId="73" fillId="38" borderId="0" applyNumberFormat="0" applyBorder="0" applyAlignment="0" applyProtection="0"/>
    <xf numFmtId="0" fontId="73" fillId="38" borderId="0" applyNumberFormat="0" applyBorder="0" applyAlignment="0" applyProtection="0"/>
    <xf numFmtId="0" fontId="79" fillId="61" borderId="0" applyNumberFormat="0" applyBorder="0" applyAlignment="0" applyProtection="0"/>
    <xf numFmtId="0" fontId="79" fillId="63" borderId="0" applyNumberFormat="0" applyBorder="0" applyAlignment="0" applyProtection="0"/>
    <xf numFmtId="0" fontId="79" fillId="61" borderId="0" applyNumberFormat="0" applyBorder="0" applyAlignment="0" applyProtection="0"/>
    <xf numFmtId="0" fontId="125" fillId="63" borderId="0" applyNumberFormat="0" applyBorder="0" applyAlignment="0" applyProtection="0"/>
    <xf numFmtId="0" fontId="73" fillId="42" borderId="0" applyNumberFormat="0" applyBorder="0" applyAlignment="0" applyProtection="0"/>
    <xf numFmtId="0" fontId="79" fillId="61" borderId="0" applyNumberFormat="0" applyBorder="0" applyAlignment="0" applyProtection="0"/>
    <xf numFmtId="0" fontId="150" fillId="42" borderId="0" applyNumberFormat="0" applyBorder="0" applyAlignment="0" applyProtection="0"/>
    <xf numFmtId="0" fontId="79" fillId="61" borderId="0" applyNumberFormat="0" applyBorder="0" applyAlignment="0" applyProtection="0"/>
    <xf numFmtId="0" fontId="73" fillId="42" borderId="0" applyNumberFormat="0" applyBorder="0" applyAlignment="0" applyProtection="0"/>
    <xf numFmtId="0" fontId="73" fillId="42" borderId="0" applyNumberFormat="0" applyBorder="0" applyAlignment="0" applyProtection="0"/>
    <xf numFmtId="0" fontId="152" fillId="0" borderId="0">
      <alignment horizontal="center" wrapText="1"/>
      <protection locked="0"/>
    </xf>
    <xf numFmtId="0" fontId="152" fillId="0" borderId="0">
      <alignment horizontal="center" wrapText="1"/>
      <protection locked="0"/>
    </xf>
    <xf numFmtId="0" fontId="152" fillId="0" borderId="0">
      <alignment horizontal="center" wrapText="1"/>
      <protection locked="0"/>
    </xf>
    <xf numFmtId="0" fontId="99" fillId="69" borderId="87" applyNumberFormat="0" applyAlignment="0" applyProtection="0"/>
    <xf numFmtId="0" fontId="126" fillId="64" borderId="87" applyNumberFormat="0" applyAlignment="0" applyProtection="0"/>
    <xf numFmtId="0" fontId="66" fillId="19" borderId="82" applyNumberFormat="0" applyAlignment="0" applyProtection="0"/>
    <xf numFmtId="0" fontId="99" fillId="69" borderId="87" applyNumberFormat="0" applyAlignment="0" applyProtection="0"/>
    <xf numFmtId="0" fontId="99" fillId="69" borderId="87" applyNumberFormat="0" applyAlignment="0" applyProtection="0"/>
    <xf numFmtId="0" fontId="153" fillId="19" borderId="82" applyNumberFormat="0" applyAlignment="0" applyProtection="0"/>
    <xf numFmtId="0" fontId="99" fillId="69" borderId="87" applyNumberFormat="0" applyAlignment="0" applyProtection="0"/>
    <xf numFmtId="0" fontId="66" fillId="19" borderId="82" applyNumberFormat="0" applyAlignment="0" applyProtection="0"/>
    <xf numFmtId="0" fontId="89" fillId="47" borderId="0" applyNumberFormat="0" applyBorder="0" applyAlignment="0" applyProtection="0"/>
    <xf numFmtId="0" fontId="89" fillId="49" borderId="0" applyNumberFormat="0" applyBorder="0" applyAlignment="0" applyProtection="0"/>
    <xf numFmtId="0" fontId="89" fillId="49" borderId="0" applyNumberFormat="0" applyBorder="0" applyAlignment="0" applyProtection="0"/>
    <xf numFmtId="0" fontId="154" fillId="69" borderId="88" applyNumberFormat="0" applyAlignment="0" applyProtection="0"/>
    <xf numFmtId="0" fontId="127" fillId="64" borderId="88" applyNumberFormat="0" applyAlignment="0" applyProtection="0"/>
    <xf numFmtId="0" fontId="67" fillId="19" borderId="81" applyNumberFormat="0" applyAlignment="0" applyProtection="0"/>
    <xf numFmtId="0" fontId="154" fillId="69" borderId="88" applyNumberFormat="0" applyAlignment="0" applyProtection="0"/>
    <xf numFmtId="0" fontId="154" fillId="69" borderId="88" applyNumberFormat="0" applyAlignment="0" applyProtection="0"/>
    <xf numFmtId="0" fontId="155" fillId="19" borderId="81" applyNumberFormat="0" applyAlignment="0" applyProtection="0"/>
    <xf numFmtId="0" fontId="154" fillId="69" borderId="88" applyNumberFormat="0" applyAlignment="0" applyProtection="0"/>
    <xf numFmtId="0" fontId="67" fillId="19" borderId="81" applyNumberFormat="0" applyAlignment="0" applyProtection="0"/>
    <xf numFmtId="190" fontId="4" fillId="0" borderId="1" applyBorder="0"/>
    <xf numFmtId="190" fontId="4" fillId="0" borderId="66" applyBorder="0">
      <alignment horizontal="right"/>
    </xf>
    <xf numFmtId="190" fontId="4" fillId="0" borderId="66" applyBorder="0">
      <alignment horizontal="right"/>
    </xf>
    <xf numFmtId="0" fontId="84" fillId="48" borderId="0" applyNumberFormat="0" applyBorder="0" applyAlignment="0" applyProtection="0"/>
    <xf numFmtId="0" fontId="84" fillId="50" borderId="0" applyNumberFormat="0" applyBorder="0" applyAlignment="0" applyProtection="0"/>
    <xf numFmtId="191" fontId="4" fillId="0" borderId="0" applyFill="0" applyBorder="0" applyAlignment="0"/>
    <xf numFmtId="191" fontId="4" fillId="0" borderId="0" applyFill="0" applyBorder="0" applyAlignment="0"/>
    <xf numFmtId="191" fontId="4" fillId="0" borderId="0" applyFill="0" applyBorder="0" applyAlignment="0"/>
    <xf numFmtId="192" fontId="156" fillId="0" borderId="0" applyFill="0" applyBorder="0" applyAlignment="0"/>
    <xf numFmtId="0" fontId="100" fillId="64" borderId="88" applyNumberFormat="0" applyAlignment="0" applyProtection="0"/>
    <xf numFmtId="0" fontId="100" fillId="69" borderId="88" applyNumberFormat="0" applyAlignment="0" applyProtection="0"/>
    <xf numFmtId="0" fontId="154" fillId="69" borderId="88" applyNumberFormat="0" applyAlignment="0" applyProtection="0"/>
    <xf numFmtId="0" fontId="100" fillId="69" borderId="88" applyNumberFormat="0" applyAlignment="0" applyProtection="0"/>
    <xf numFmtId="0" fontId="154" fillId="69" borderId="88" applyNumberFormat="0" applyAlignment="0" applyProtection="0"/>
    <xf numFmtId="0" fontId="154" fillId="69" borderId="88" applyNumberFormat="0" applyAlignment="0" applyProtection="0"/>
    <xf numFmtId="0" fontId="100" fillId="69" borderId="88" applyNumberFormat="0" applyAlignment="0" applyProtection="0"/>
    <xf numFmtId="0" fontId="154" fillId="69" borderId="88" applyNumberFormat="0" applyAlignment="0" applyProtection="0"/>
    <xf numFmtId="0" fontId="157" fillId="0" borderId="0"/>
    <xf numFmtId="0" fontId="96" fillId="65" borderId="89" applyNumberFormat="0" applyAlignment="0" applyProtection="0"/>
    <xf numFmtId="0" fontId="95" fillId="0" borderId="94" applyNumberFormat="0" applyFill="0" applyAlignment="0" applyProtection="0"/>
    <xf numFmtId="0" fontId="105" fillId="0" borderId="96" applyNumberFormat="0" applyFill="0" applyAlignment="0" applyProtection="0"/>
    <xf numFmtId="193" fontId="4" fillId="0" borderId="0" applyFont="0" applyFill="0" applyBorder="0" applyAlignment="0" applyProtection="0"/>
    <xf numFmtId="43" fontId="4" fillId="0" borderId="0" applyFont="0" applyFill="0" applyBorder="0" applyAlignment="0" applyProtection="0"/>
    <xf numFmtId="43" fontId="123" fillId="0" borderId="0" applyFont="0" applyFill="0" applyBorder="0" applyAlignment="0" applyProtection="0"/>
    <xf numFmtId="43" fontId="123" fillId="0" borderId="0" applyFont="0" applyFill="0" applyBorder="0" applyAlignment="0" applyProtection="0"/>
    <xf numFmtId="37" fontId="4" fillId="0" borderId="0" applyFont="0" applyFill="0" applyBorder="0" applyAlignment="0" applyProtection="0">
      <alignment horizontal="right"/>
    </xf>
    <xf numFmtId="37" fontId="4" fillId="0" borderId="0" applyFont="0" applyFill="0" applyBorder="0" applyAlignment="0" applyProtection="0">
      <alignment horizontal="right"/>
    </xf>
    <xf numFmtId="37" fontId="4" fillId="0" borderId="0" applyFont="0" applyFill="0" applyBorder="0" applyAlignment="0" applyProtection="0">
      <alignment horizontal="right"/>
    </xf>
    <xf numFmtId="40" fontId="148" fillId="0" borderId="0" applyFont="0" applyFill="0" applyBorder="0" applyAlignment="0" applyProtection="0"/>
    <xf numFmtId="40" fontId="148" fillId="0" borderId="0" applyFont="0" applyFill="0" applyBorder="0" applyAlignment="0" applyProtection="0"/>
    <xf numFmtId="40" fontId="148" fillId="0" borderId="0" applyFont="0" applyFill="0" applyBorder="0" applyAlignment="0" applyProtection="0"/>
    <xf numFmtId="0" fontId="158" fillId="0" borderId="0" applyNumberFormat="0" applyAlignment="0">
      <alignment horizontal="left"/>
    </xf>
    <xf numFmtId="0" fontId="158" fillId="0" borderId="0" applyNumberFormat="0" applyAlignment="0">
      <alignment horizontal="left"/>
    </xf>
    <xf numFmtId="0" fontId="158" fillId="0" borderId="0" applyNumberFormat="0" applyAlignment="0">
      <alignment horizontal="left"/>
    </xf>
    <xf numFmtId="0" fontId="156" fillId="0" borderId="0" applyNumberFormat="0" applyAlignment="0"/>
    <xf numFmtId="0" fontId="156" fillId="0" borderId="0" applyNumberFormat="0" applyAlignment="0"/>
    <xf numFmtId="0" fontId="156" fillId="0" borderId="0" applyNumberFormat="0" applyAlignment="0"/>
    <xf numFmtId="194" fontId="159" fillId="0" borderId="0">
      <alignment horizontal="center"/>
    </xf>
    <xf numFmtId="194" fontId="159" fillId="0" borderId="0">
      <alignment horizontal="center"/>
    </xf>
    <xf numFmtId="194" fontId="159" fillId="0" borderId="0">
      <alignment horizontal="center"/>
    </xf>
    <xf numFmtId="192" fontId="156" fillId="0" borderId="0" applyFont="0" applyFill="0" applyBorder="0" applyAlignment="0" applyProtection="0"/>
    <xf numFmtId="195" fontId="4" fillId="0" borderId="0" applyFont="0" applyFill="0" applyBorder="0" applyAlignment="0" applyProtection="0"/>
    <xf numFmtId="196" fontId="4" fillId="0" borderId="0" applyFont="0" applyFill="0" applyBorder="0" applyAlignment="0" applyProtection="0"/>
    <xf numFmtId="196" fontId="4" fillId="0" borderId="0" applyFont="0" applyFill="0" applyBorder="0" applyAlignment="0" applyProtection="0"/>
    <xf numFmtId="196" fontId="4" fillId="0" borderId="0" applyFont="0" applyFill="0" applyBorder="0" applyAlignment="0" applyProtection="0"/>
    <xf numFmtId="197" fontId="4" fillId="68" borderId="0" applyFont="0" applyBorder="0"/>
    <xf numFmtId="184" fontId="148" fillId="0" borderId="0" applyFont="0" applyFill="0" applyBorder="0" applyProtection="0">
      <alignment horizontal="centerContinuous"/>
    </xf>
    <xf numFmtId="184" fontId="148" fillId="0" borderId="0" applyFont="0" applyFill="0" applyBorder="0" applyProtection="0">
      <alignment horizontal="centerContinuous"/>
    </xf>
    <xf numFmtId="184" fontId="148" fillId="0" borderId="0" applyFont="0" applyFill="0" applyBorder="0" applyProtection="0">
      <alignment horizontal="centerContinuous"/>
    </xf>
    <xf numFmtId="14" fontId="14" fillId="0" borderId="0" applyFill="0" applyBorder="0" applyAlignment="0"/>
    <xf numFmtId="198" fontId="148" fillId="0" borderId="0" applyFont="0" applyFill="0" applyBorder="0" applyProtection="0">
      <alignment horizontal="centerContinuous"/>
    </xf>
    <xf numFmtId="199" fontId="148" fillId="0" borderId="0" applyFont="0" applyFill="0" applyBorder="0" applyAlignment="0" applyProtection="0"/>
    <xf numFmtId="200" fontId="4" fillId="0" borderId="0" applyFont="0" applyFill="0" applyBorder="0" applyAlignment="0" applyProtection="0"/>
    <xf numFmtId="201" fontId="4" fillId="0" borderId="0" applyFont="0" applyFill="0" applyBorder="0" applyAlignment="0" applyProtection="0"/>
    <xf numFmtId="202" fontId="148" fillId="0" borderId="0"/>
    <xf numFmtId="203" fontId="4" fillId="0" borderId="0" applyFont="0" applyFill="0" applyBorder="0" applyAlignment="0" applyProtection="0"/>
    <xf numFmtId="204" fontId="4" fillId="0" borderId="0" applyFont="0" applyFill="0" applyBorder="0" applyAlignment="0" applyProtection="0"/>
    <xf numFmtId="205" fontId="4" fillId="0" borderId="0" applyFont="0" applyFill="0" applyBorder="0" applyAlignment="0" applyProtection="0"/>
    <xf numFmtId="0" fontId="160" fillId="0" borderId="0" applyNumberFormat="0" applyFill="0" applyBorder="0" applyProtection="0">
      <alignment horizontal="left"/>
    </xf>
    <xf numFmtId="0" fontId="101" fillId="66" borderId="88" applyNumberFormat="0" applyAlignment="0" applyProtection="0"/>
    <xf numFmtId="0" fontId="30" fillId="51" borderId="88" applyNumberFormat="0" applyAlignment="0" applyProtection="0"/>
    <xf numFmtId="0" fontId="65" fillId="18" borderId="81" applyNumberFormat="0" applyAlignment="0" applyProtection="0"/>
    <xf numFmtId="0" fontId="101" fillId="66" borderId="88" applyNumberFormat="0" applyAlignment="0" applyProtection="0"/>
    <xf numFmtId="0" fontId="101" fillId="66" borderId="88" applyNumberFormat="0" applyAlignment="0" applyProtection="0"/>
    <xf numFmtId="0" fontId="161" fillId="18" borderId="81" applyNumberFormat="0" applyAlignment="0" applyProtection="0"/>
    <xf numFmtId="0" fontId="101" fillId="66" borderId="88" applyNumberFormat="0" applyAlignment="0" applyProtection="0"/>
    <xf numFmtId="0" fontId="65" fillId="18" borderId="81" applyNumberFormat="0" applyAlignment="0" applyProtection="0"/>
    <xf numFmtId="0" fontId="162" fillId="0" borderId="0" applyNumberFormat="0" applyFill="0" applyBorder="0" applyAlignment="0" applyProtection="0"/>
    <xf numFmtId="0" fontId="79" fillId="58" borderId="0" applyNumberFormat="0" applyBorder="0" applyAlignment="0" applyProtection="0"/>
    <xf numFmtId="0" fontId="79" fillId="70" borderId="0" applyNumberFormat="0" applyBorder="0" applyAlignment="0" applyProtection="0"/>
    <xf numFmtId="0" fontId="79" fillId="61" borderId="0" applyNumberFormat="0" applyBorder="0" applyAlignment="0" applyProtection="0"/>
    <xf numFmtId="0" fontId="79" fillId="63" borderId="0" applyNumberFormat="0" applyBorder="0" applyAlignment="0" applyProtection="0"/>
    <xf numFmtId="0" fontId="79" fillId="62" borderId="0" applyNumberFormat="0" applyBorder="0" applyAlignment="0" applyProtection="0"/>
    <xf numFmtId="0" fontId="79" fillId="55" borderId="0" applyNumberFormat="0" applyBorder="0" applyAlignment="0" applyProtection="0"/>
    <xf numFmtId="0" fontId="79" fillId="71" borderId="0" applyNumberFormat="0" applyBorder="0" applyAlignment="0" applyProtection="0"/>
    <xf numFmtId="0" fontId="79" fillId="58" borderId="0" applyNumberFormat="0" applyBorder="0" applyAlignment="0" applyProtection="0"/>
    <xf numFmtId="0" fontId="79" fillId="63" borderId="0" applyNumberFormat="0" applyBorder="0" applyAlignment="0" applyProtection="0"/>
    <xf numFmtId="0" fontId="79" fillId="61" borderId="0" applyNumberFormat="0" applyBorder="0" applyAlignment="0" applyProtection="0"/>
    <xf numFmtId="193" fontId="4" fillId="0" borderId="0" applyFill="0" applyBorder="0" applyAlignment="0"/>
    <xf numFmtId="192" fontId="156" fillId="0" borderId="0" applyFill="0" applyBorder="0" applyAlignment="0"/>
    <xf numFmtId="193" fontId="4" fillId="0" borderId="0" applyFill="0" applyBorder="0" applyAlignment="0"/>
    <xf numFmtId="206" fontId="156" fillId="0" borderId="0" applyFill="0" applyBorder="0" applyAlignment="0"/>
    <xf numFmtId="192" fontId="156" fillId="0" borderId="0" applyFill="0" applyBorder="0" applyAlignment="0"/>
    <xf numFmtId="0" fontId="163" fillId="0" borderId="0" applyNumberFormat="0" applyAlignment="0">
      <alignment horizontal="left"/>
    </xf>
    <xf numFmtId="0" fontId="163" fillId="0" borderId="0" applyNumberFormat="0" applyAlignment="0">
      <alignment horizontal="left"/>
    </xf>
    <xf numFmtId="0" fontId="163" fillId="0" borderId="0" applyNumberFormat="0" applyAlignment="0">
      <alignment horizontal="left"/>
    </xf>
    <xf numFmtId="0" fontId="101" fillId="51" borderId="88" applyNumberFormat="0" applyAlignment="0" applyProtection="0"/>
    <xf numFmtId="0" fontId="101" fillId="66" borderId="88" applyNumberFormat="0" applyAlignment="0" applyProtection="0"/>
    <xf numFmtId="0" fontId="102" fillId="0" borderId="97" applyNumberFormat="0" applyFill="0" applyAlignment="0" applyProtection="0"/>
    <xf numFmtId="0" fontId="98" fillId="0" borderId="90" applyNumberFormat="0" applyFill="0" applyAlignment="0" applyProtection="0"/>
    <xf numFmtId="0" fontId="72" fillId="0" borderId="86" applyNumberFormat="0" applyFill="0" applyAlignment="0" applyProtection="0"/>
    <xf numFmtId="0" fontId="102" fillId="0" borderId="97" applyNumberFormat="0" applyFill="0" applyAlignment="0" applyProtection="0"/>
    <xf numFmtId="0" fontId="102" fillId="0" borderId="97" applyNumberFormat="0" applyFill="0" applyAlignment="0" applyProtection="0"/>
    <xf numFmtId="0" fontId="164" fillId="0" borderId="86" applyNumberFormat="0" applyFill="0" applyAlignment="0" applyProtection="0"/>
    <xf numFmtId="0" fontId="102" fillId="0" borderId="97" applyNumberFormat="0" applyFill="0" applyAlignment="0" applyProtection="0"/>
    <xf numFmtId="0" fontId="72" fillId="0" borderId="86" applyNumberFormat="0" applyFill="0" applyAlignment="0" applyProtection="0"/>
    <xf numFmtId="0" fontId="71" fillId="0" borderId="0" applyNumberFormat="0" applyFill="0" applyBorder="0" applyAlignment="0" applyProtection="0"/>
    <xf numFmtId="0" fontId="103" fillId="0" borderId="0" applyNumberFormat="0" applyFill="0" applyBorder="0" applyAlignment="0" applyProtection="0"/>
    <xf numFmtId="0" fontId="165" fillId="0" borderId="0" applyNumberFormat="0" applyFill="0" applyBorder="0" applyAlignment="0" applyProtection="0"/>
    <xf numFmtId="0" fontId="103" fillId="0" borderId="0" applyNumberFormat="0" applyFill="0" applyBorder="0" applyAlignment="0" applyProtection="0"/>
    <xf numFmtId="0" fontId="71"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6" fillId="0" borderId="0" applyNumberFormat="0" applyFill="0" applyBorder="0" applyProtection="0">
      <alignment horizontal="right"/>
    </xf>
    <xf numFmtId="207" fontId="4" fillId="0" borderId="0" applyFont="0" applyFill="0" applyBorder="0" applyAlignment="0" applyProtection="0"/>
    <xf numFmtId="208" fontId="4" fillId="0" borderId="0" applyFont="0" applyFill="0" applyBorder="0" applyAlignment="0" applyProtection="0"/>
    <xf numFmtId="208" fontId="4" fillId="0" borderId="0" applyFont="0" applyFill="0" applyBorder="0" applyAlignment="0" applyProtection="0"/>
    <xf numFmtId="208" fontId="4" fillId="0" borderId="0" applyFont="0" applyFill="0" applyBorder="0" applyAlignment="0" applyProtection="0"/>
    <xf numFmtId="208" fontId="4" fillId="0" borderId="0" applyFont="0" applyFill="0" applyBorder="0" applyAlignment="0" applyProtection="0"/>
    <xf numFmtId="208" fontId="4" fillId="0" borderId="0" applyFont="0" applyFill="0" applyBorder="0" applyAlignment="0" applyProtection="0"/>
    <xf numFmtId="209" fontId="4" fillId="0" borderId="0" applyFill="0" applyBorder="0" applyAlignment="0" applyProtection="0"/>
    <xf numFmtId="210" fontId="4" fillId="0" borderId="0" applyFont="0" applyFill="0" applyBorder="0" applyAlignment="0" applyProtection="0"/>
    <xf numFmtId="209" fontId="4" fillId="0" borderId="0" applyFill="0" applyBorder="0" applyAlignment="0" applyProtection="0"/>
    <xf numFmtId="208" fontId="4" fillId="0" borderId="0" applyFont="0" applyFill="0" applyBorder="0" applyAlignment="0" applyProtection="0"/>
    <xf numFmtId="209" fontId="4" fillId="0" borderId="0" applyFill="0" applyBorder="0" applyAlignment="0" applyProtection="0"/>
    <xf numFmtId="0" fontId="103" fillId="0" borderId="0" applyNumberFormat="0" applyFill="0" applyBorder="0" applyAlignment="0" applyProtection="0"/>
    <xf numFmtId="0" fontId="4" fillId="0" borderId="7" applyFont="0" applyBorder="0" applyAlignment="0"/>
    <xf numFmtId="0" fontId="4" fillId="0" borderId="7" applyFont="0" applyBorder="0" applyAlignment="0"/>
    <xf numFmtId="0" fontId="167" fillId="0" borderId="0" applyNumberFormat="0" applyFill="0" applyBorder="0" applyProtection="0">
      <alignment horizontal="right"/>
    </xf>
    <xf numFmtId="9" fontId="168" fillId="0" borderId="0" applyFont="0" applyFill="0" applyBorder="0" applyAlignment="0" applyProtection="0"/>
    <xf numFmtId="0" fontId="84" fillId="48" borderId="0" applyNumberFormat="0" applyBorder="0" applyAlignment="0" applyProtection="0"/>
    <xf numFmtId="0" fontId="84" fillId="50" borderId="0" applyNumberFormat="0" applyBorder="0" applyAlignment="0" applyProtection="0"/>
    <xf numFmtId="0" fontId="84" fillId="50" borderId="0" applyNumberFormat="0" applyBorder="0" applyAlignment="0" applyProtection="0"/>
    <xf numFmtId="211" fontId="14" fillId="0" borderId="98"/>
    <xf numFmtId="38" fontId="10" fillId="3" borderId="0" applyNumberFormat="0" applyBorder="0" applyAlignment="0" applyProtection="0"/>
    <xf numFmtId="38" fontId="10" fillId="3" borderId="0" applyNumberFormat="0" applyBorder="0" applyAlignment="0" applyProtection="0"/>
    <xf numFmtId="38" fontId="10" fillId="3" borderId="0" applyNumberFormat="0" applyBorder="0" applyAlignment="0" applyProtection="0"/>
    <xf numFmtId="0" fontId="84" fillId="50" borderId="0" applyNumberFormat="0" applyBorder="0" applyAlignment="0" applyProtection="0"/>
    <xf numFmtId="0" fontId="84" fillId="48" borderId="0" applyNumberFormat="0" applyBorder="0" applyAlignment="0" applyProtection="0"/>
    <xf numFmtId="0" fontId="84" fillId="50" borderId="0" applyNumberFormat="0" applyBorder="0" applyAlignment="0" applyProtection="0"/>
    <xf numFmtId="0" fontId="169" fillId="48" borderId="0" applyNumberFormat="0" applyBorder="0" applyAlignment="0" applyProtection="0"/>
    <xf numFmtId="0" fontId="170" fillId="15" borderId="0" applyNumberFormat="0" applyBorder="0" applyAlignment="0" applyProtection="0"/>
    <xf numFmtId="0" fontId="62" fillId="15" borderId="0" applyNumberFormat="0" applyBorder="0" applyAlignment="0" applyProtection="0"/>
    <xf numFmtId="0" fontId="84" fillId="50" borderId="0" applyNumberFormat="0" applyBorder="0" applyAlignment="0" applyProtection="0"/>
    <xf numFmtId="0" fontId="84" fillId="48" borderId="0" applyNumberFormat="0" applyBorder="0" applyAlignment="0" applyProtection="0"/>
    <xf numFmtId="0" fontId="62" fillId="15" borderId="0" applyNumberFormat="0" applyBorder="0" applyAlignment="0" applyProtection="0"/>
    <xf numFmtId="0" fontId="84" fillId="50" borderId="0" applyNumberFormat="0" applyBorder="0" applyAlignment="0" applyProtection="0"/>
    <xf numFmtId="0" fontId="62" fillId="15" borderId="0" applyNumberFormat="0" applyBorder="0" applyAlignment="0" applyProtection="0"/>
    <xf numFmtId="0" fontId="171" fillId="0" borderId="0">
      <alignment horizontal="left"/>
    </xf>
    <xf numFmtId="0" fontId="5" fillId="0" borderId="66" applyNumberFormat="0" applyAlignment="0" applyProtection="0">
      <alignment horizontal="left" vertical="center"/>
    </xf>
    <xf numFmtId="0" fontId="5" fillId="0" borderId="6">
      <alignment horizontal="left" vertical="center"/>
    </xf>
    <xf numFmtId="0" fontId="172" fillId="0" borderId="99" applyNumberFormat="0" applyFill="0" applyAlignment="0" applyProtection="0"/>
    <xf numFmtId="0" fontId="172" fillId="0" borderId="100" applyNumberFormat="0" applyFill="0" applyAlignment="0" applyProtection="0"/>
    <xf numFmtId="0" fontId="172" fillId="0" borderId="100" applyNumberFormat="0" applyFill="0" applyAlignment="0" applyProtection="0"/>
    <xf numFmtId="0" fontId="173" fillId="0" borderId="92" applyNumberFormat="0" applyFill="0" applyAlignment="0" applyProtection="0"/>
    <xf numFmtId="0" fontId="173" fillId="0" borderId="101" applyNumberFormat="0" applyFill="0" applyAlignment="0" applyProtection="0"/>
    <xf numFmtId="0" fontId="173" fillId="0" borderId="101" applyNumberFormat="0" applyFill="0" applyAlignment="0" applyProtection="0"/>
    <xf numFmtId="0" fontId="162" fillId="0" borderId="102" applyNumberFormat="0" applyFill="0" applyAlignment="0" applyProtection="0"/>
    <xf numFmtId="0" fontId="162" fillId="0" borderId="103" applyNumberFormat="0" applyFill="0" applyAlignment="0" applyProtection="0"/>
    <xf numFmtId="0" fontId="162" fillId="0" borderId="103" applyNumberFormat="0" applyFill="0" applyAlignment="0" applyProtection="0"/>
    <xf numFmtId="0" fontId="162" fillId="0" borderId="0" applyNumberFormat="0" applyFill="0" applyBorder="0" applyAlignment="0" applyProtection="0"/>
    <xf numFmtId="0" fontId="162" fillId="0" borderId="0" applyNumberFormat="0" applyFill="0" applyBorder="0" applyAlignment="0" applyProtection="0"/>
    <xf numFmtId="0" fontId="174" fillId="0" borderId="36">
      <alignment horizontal="center"/>
    </xf>
    <xf numFmtId="0" fontId="174" fillId="0" borderId="36">
      <alignment horizontal="center"/>
    </xf>
    <xf numFmtId="0" fontId="174" fillId="0" borderId="36">
      <alignment horizontal="center"/>
    </xf>
    <xf numFmtId="0" fontId="174" fillId="0" borderId="0">
      <alignment horizontal="center"/>
    </xf>
    <xf numFmtId="0" fontId="174" fillId="0" borderId="0">
      <alignment horizontal="center"/>
    </xf>
    <xf numFmtId="0" fontId="174" fillId="0" borderId="0">
      <alignment horizontal="center"/>
    </xf>
    <xf numFmtId="0" fontId="124"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43" fillId="0" borderId="0" applyNumberFormat="0" applyFill="0" applyBorder="0" applyAlignment="0" applyProtection="0"/>
    <xf numFmtId="0" fontId="175" fillId="0" borderId="0" applyNumberFormat="0" applyFill="0" applyBorder="0" applyAlignment="0" applyProtection="0"/>
    <xf numFmtId="0" fontId="89" fillId="47" borderId="0" applyNumberFormat="0" applyBorder="0" applyAlignment="0" applyProtection="0"/>
    <xf numFmtId="0" fontId="89" fillId="49" borderId="0" applyNumberFormat="0" applyBorder="0" applyAlignment="0" applyProtection="0"/>
    <xf numFmtId="0" fontId="101" fillId="51" borderId="88" applyNumberFormat="0" applyAlignment="0" applyProtection="0"/>
    <xf numFmtId="10" fontId="10" fillId="3" borderId="18" applyNumberFormat="0" applyBorder="0" applyAlignment="0" applyProtection="0"/>
    <xf numFmtId="10" fontId="10" fillId="3" borderId="18" applyNumberFormat="0" applyBorder="0" applyAlignment="0" applyProtection="0"/>
    <xf numFmtId="10" fontId="10" fillId="3" borderId="18" applyNumberFormat="0" applyBorder="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0" fontId="101" fillId="66" borderId="88" applyNumberFormat="0" applyAlignment="0" applyProtection="0"/>
    <xf numFmtId="201" fontId="151" fillId="72" borderId="0"/>
    <xf numFmtId="0" fontId="176" fillId="0" borderId="0" applyNumberFormat="0" applyFill="0" applyBorder="0" applyProtection="0">
      <alignment horizontal="left"/>
    </xf>
    <xf numFmtId="0" fontId="177" fillId="0" borderId="0" applyNumberFormat="0" applyFont="0" applyBorder="0" applyAlignment="0"/>
    <xf numFmtId="0" fontId="4" fillId="0" borderId="0" applyNumberFormat="0" applyBorder="0" applyAlignment="0"/>
    <xf numFmtId="0" fontId="4" fillId="0" borderId="0" applyNumberFormat="0" applyBorder="0" applyAlignment="0"/>
    <xf numFmtId="0" fontId="4" fillId="0" borderId="0" applyNumberFormat="0" applyBorder="0" applyAlignment="0"/>
    <xf numFmtId="0" fontId="4" fillId="0" borderId="0" applyNumberFormat="0" applyBorder="0" applyAlignment="0"/>
    <xf numFmtId="0" fontId="4" fillId="0" borderId="0" applyNumberFormat="0" applyBorder="0" applyAlignment="0"/>
    <xf numFmtId="43" fontId="4" fillId="0" borderId="0" applyFill="0" applyBorder="0" applyAlignment="0" applyProtection="0"/>
    <xf numFmtId="43" fontId="4" fillId="0" borderId="0" applyFill="0" applyBorder="0" applyAlignment="0" applyProtection="0"/>
    <xf numFmtId="43" fontId="4" fillId="0" borderId="0" applyFill="0" applyBorder="0" applyAlignment="0" applyProtection="0"/>
    <xf numFmtId="43" fontId="4" fillId="0" borderId="0" applyFont="0" applyFill="0" applyBorder="0" applyAlignment="0" applyProtection="0"/>
    <xf numFmtId="193" fontId="4" fillId="0" borderId="0" applyFill="0" applyBorder="0" applyAlignment="0"/>
    <xf numFmtId="192" fontId="156" fillId="0" borderId="0" applyFill="0" applyBorder="0" applyAlignment="0"/>
    <xf numFmtId="193" fontId="4" fillId="0" borderId="0" applyFill="0" applyBorder="0" applyAlignment="0"/>
    <xf numFmtId="206" fontId="156" fillId="0" borderId="0" applyFill="0" applyBorder="0" applyAlignment="0"/>
    <xf numFmtId="192" fontId="156" fillId="0" borderId="0" applyFill="0" applyBorder="0" applyAlignment="0"/>
    <xf numFmtId="0" fontId="95" fillId="0" borderId="94" applyNumberFormat="0" applyFill="0" applyAlignment="0" applyProtection="0"/>
    <xf numFmtId="0" fontId="105" fillId="0" borderId="96" applyNumberFormat="0" applyFill="0" applyAlignment="0" applyProtection="0"/>
    <xf numFmtId="0" fontId="105" fillId="0" borderId="96" applyNumberFormat="0" applyFill="0" applyAlignment="0" applyProtection="0"/>
    <xf numFmtId="201" fontId="178" fillId="73" borderId="0"/>
    <xf numFmtId="41" fontId="179" fillId="0" borderId="0" applyFont="0" applyFill="0" applyBorder="0" applyAlignment="0" applyProtection="0"/>
    <xf numFmtId="43" fontId="179" fillId="0" borderId="0" applyFont="0" applyFill="0" applyBorder="0" applyAlignment="0" applyProtection="0"/>
    <xf numFmtId="212" fontId="4" fillId="0" borderId="0" applyFont="0" applyFill="0" applyBorder="0" applyAlignment="0" applyProtection="0"/>
    <xf numFmtId="213" fontId="4" fillId="0" borderId="0" applyFont="0" applyFill="0" applyBorder="0" applyAlignment="0" applyProtection="0"/>
    <xf numFmtId="0" fontId="180" fillId="0" borderId="36"/>
    <xf numFmtId="214" fontId="4" fillId="0" borderId="0" applyFont="0" applyFill="0" applyBorder="0" applyAlignment="0" applyProtection="0"/>
    <xf numFmtId="215" fontId="4" fillId="0" borderId="0" applyFont="0" applyFill="0" applyBorder="0" applyAlignment="0" applyProtection="0"/>
    <xf numFmtId="216" fontId="4" fillId="0" borderId="0" applyFont="0" applyFill="0" applyBorder="0" applyAlignment="0" applyProtection="0"/>
    <xf numFmtId="217" fontId="4" fillId="0" borderId="0" applyFont="0" applyFill="0" applyBorder="0" applyAlignment="0" applyProtection="0"/>
    <xf numFmtId="0" fontId="181" fillId="66" borderId="0" applyNumberFormat="0" applyBorder="0" applyAlignment="0" applyProtection="0"/>
    <xf numFmtId="0" fontId="64" fillId="17" borderId="0" applyNumberFormat="0" applyBorder="0" applyAlignment="0" applyProtection="0"/>
    <xf numFmtId="0" fontId="181" fillId="66" borderId="0" applyNumberFormat="0" applyBorder="0" applyAlignment="0" applyProtection="0"/>
    <xf numFmtId="0" fontId="104" fillId="66" borderId="0" applyNumberFormat="0" applyBorder="0" applyAlignment="0" applyProtection="0"/>
    <xf numFmtId="0" fontId="181" fillId="66" borderId="0" applyNumberFormat="0" applyBorder="0" applyAlignment="0" applyProtection="0"/>
    <xf numFmtId="0" fontId="182" fillId="17" borderId="0" applyNumberFormat="0" applyBorder="0" applyAlignment="0" applyProtection="0"/>
    <xf numFmtId="0" fontId="182" fillId="17" borderId="0" applyNumberFormat="0" applyBorder="0" applyAlignment="0" applyProtection="0"/>
    <xf numFmtId="0" fontId="64" fillId="17" borderId="0" applyNumberFormat="0" applyBorder="0" applyAlignment="0" applyProtection="0"/>
    <xf numFmtId="0" fontId="64" fillId="17" borderId="0" applyNumberFormat="0" applyBorder="0" applyAlignment="0" applyProtection="0"/>
    <xf numFmtId="0" fontId="64" fillId="17" borderId="0" applyNumberFormat="0" applyBorder="0" applyAlignment="0" applyProtection="0"/>
    <xf numFmtId="37" fontId="183" fillId="0" borderId="0"/>
    <xf numFmtId="218" fontId="4" fillId="0" borderId="0"/>
    <xf numFmtId="219" fontId="18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149" fillId="0" borderId="0"/>
    <xf numFmtId="0" fontId="2" fillId="0" borderId="0"/>
    <xf numFmtId="0" fontId="2" fillId="0" borderId="0"/>
    <xf numFmtId="0" fontId="4" fillId="0" borderId="0"/>
    <xf numFmtId="0" fontId="2" fillId="0" borderId="0"/>
    <xf numFmtId="0" fontId="2" fillId="0" borderId="0"/>
    <xf numFmtId="0" fontId="149" fillId="0" borderId="0"/>
    <xf numFmtId="0" fontId="2" fillId="0" borderId="0"/>
    <xf numFmtId="0" fontId="149" fillId="0" borderId="0"/>
    <xf numFmtId="0" fontId="4" fillId="0" borderId="0"/>
    <xf numFmtId="0" fontId="123"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 fillId="0" borderId="0"/>
    <xf numFmtId="0" fontId="149" fillId="0" borderId="0"/>
    <xf numFmtId="0" fontId="4" fillId="0" borderId="0"/>
    <xf numFmtId="0" fontId="149" fillId="0" borderId="0"/>
    <xf numFmtId="0" fontId="4" fillId="0" borderId="0"/>
    <xf numFmtId="0" fontId="14" fillId="0" borderId="0"/>
    <xf numFmtId="0" fontId="149" fillId="0" borderId="0"/>
    <xf numFmtId="0" fontId="4" fillId="0" borderId="0"/>
    <xf numFmtId="0" fontId="149" fillId="0" borderId="0"/>
    <xf numFmtId="0" fontId="4" fillId="0" borderId="0"/>
    <xf numFmtId="0" fontId="14" fillId="0" borderId="0"/>
    <xf numFmtId="0" fontId="149" fillId="0" borderId="0"/>
    <xf numFmtId="0" fontId="4" fillId="0" borderId="0"/>
    <xf numFmtId="0" fontId="149" fillId="0" borderId="0"/>
    <xf numFmtId="0" fontId="4" fillId="0" borderId="0"/>
    <xf numFmtId="0" fontId="14" fillId="0" borderId="0"/>
    <xf numFmtId="0" fontId="149" fillId="0" borderId="0"/>
    <xf numFmtId="0" fontId="4" fillId="0" borderId="0"/>
    <xf numFmtId="0" fontId="149" fillId="0" borderId="0"/>
    <xf numFmtId="0" fontId="4" fillId="0" borderId="0"/>
    <xf numFmtId="0" fontId="14" fillId="0" borderId="0"/>
    <xf numFmtId="0" fontId="149" fillId="0" borderId="0"/>
    <xf numFmtId="0" fontId="4" fillId="0" borderId="0"/>
    <xf numFmtId="0" fontId="149" fillId="0" borderId="0"/>
    <xf numFmtId="0" fontId="4" fillId="0" borderId="0"/>
    <xf numFmtId="0" fontId="14" fillId="0" borderId="0"/>
    <xf numFmtId="0" fontId="149" fillId="0" borderId="0"/>
    <xf numFmtId="0" fontId="4" fillId="0" borderId="0"/>
    <xf numFmtId="0" fontId="149" fillId="0" borderId="0"/>
    <xf numFmtId="0" fontId="4" fillId="0" borderId="0"/>
    <xf numFmtId="0" fontId="14" fillId="0" borderId="0"/>
    <xf numFmtId="0" fontId="149" fillId="0" borderId="0"/>
    <xf numFmtId="0" fontId="4" fillId="0" borderId="0"/>
    <xf numFmtId="0" fontId="149" fillId="0" borderId="0"/>
    <xf numFmtId="0" fontId="4" fillId="0" borderId="0"/>
    <xf numFmtId="0" fontId="14" fillId="0" borderId="0"/>
    <xf numFmtId="0" fontId="4" fillId="0" borderId="0"/>
    <xf numFmtId="0" fontId="149" fillId="0" borderId="0"/>
    <xf numFmtId="0" fontId="4" fillId="0" borderId="0"/>
    <xf numFmtId="0" fontId="149" fillId="0" borderId="0"/>
    <xf numFmtId="0" fontId="123" fillId="0" borderId="0"/>
    <xf numFmtId="0" fontId="1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49" fillId="0" borderId="0"/>
    <xf numFmtId="0" fontId="4" fillId="0" borderId="0"/>
    <xf numFmtId="0" fontId="149" fillId="0" borderId="0"/>
    <xf numFmtId="0" fontId="97" fillId="0" borderId="0"/>
    <xf numFmtId="0" fontId="1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49" fillId="0" borderId="0"/>
    <xf numFmtId="0" fontId="4" fillId="0" borderId="0"/>
    <xf numFmtId="0" fontId="149" fillId="0" borderId="0"/>
    <xf numFmtId="0" fontId="1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0" fontId="149" fillId="0" borderId="0"/>
    <xf numFmtId="0" fontId="4" fillId="0" borderId="0"/>
    <xf numFmtId="0" fontId="149" fillId="0" borderId="0"/>
    <xf numFmtId="0" fontId="4" fillId="0" borderId="0"/>
    <xf numFmtId="0" fontId="149" fillId="0" borderId="0"/>
    <xf numFmtId="0" fontId="14" fillId="0" borderId="0"/>
    <xf numFmtId="220" fontId="14" fillId="0" borderId="0" applyBorder="0"/>
    <xf numFmtId="0" fontId="4" fillId="0" borderId="0" applyNumberFormat="0" applyFill="0" applyBorder="0" applyAlignment="0" applyProtection="0"/>
    <xf numFmtId="0" fontId="4" fillId="0" borderId="0"/>
    <xf numFmtId="0" fontId="4" fillId="0" borderId="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2" fillId="21" borderId="85" applyNumberFormat="0" applyFont="0" applyAlignment="0" applyProtection="0"/>
    <xf numFmtId="0" fontId="2" fillId="21" borderId="85" applyNumberFormat="0" applyFont="0" applyAlignment="0" applyProtection="0"/>
    <xf numFmtId="0" fontId="2" fillId="21" borderId="85" applyNumberFormat="0" applyFont="0" applyAlignment="0" applyProtection="0"/>
    <xf numFmtId="0" fontId="185" fillId="67" borderId="95" applyNumberFormat="0" applyFont="0" applyAlignment="0" applyProtection="0"/>
    <xf numFmtId="0" fontId="4" fillId="67" borderId="9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4" fillId="67" borderId="9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4" fillId="67" borderId="95" applyNumberFormat="0" applyFont="0" applyAlignment="0" applyProtection="0"/>
    <xf numFmtId="0" fontId="97" fillId="21" borderId="85" applyNumberFormat="0" applyFont="0" applyAlignment="0" applyProtection="0"/>
    <xf numFmtId="0" fontId="14" fillId="21" borderId="85" applyNumberFormat="0" applyFont="0" applyAlignment="0" applyProtection="0"/>
    <xf numFmtId="0" fontId="14" fillId="21" borderId="8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4" fillId="67" borderId="95" applyNumberFormat="0" applyFont="0" applyAlignment="0" applyProtection="0"/>
    <xf numFmtId="0" fontId="97" fillId="21" borderId="85" applyNumberFormat="0" applyFont="0" applyAlignment="0" applyProtection="0"/>
    <xf numFmtId="0" fontId="97" fillId="21" borderId="85" applyNumberFormat="0" applyFont="0" applyAlignment="0" applyProtection="0"/>
    <xf numFmtId="0" fontId="4" fillId="67" borderId="95" applyNumberFormat="0" applyFont="0" applyAlignment="0" applyProtection="0"/>
    <xf numFmtId="0" fontId="149" fillId="21" borderId="85" applyNumberFormat="0" applyFont="0" applyAlignment="0" applyProtection="0"/>
    <xf numFmtId="0" fontId="149" fillId="21" borderId="8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0" fontId="4" fillId="67" borderId="95" applyNumberFormat="0" applyFont="0" applyAlignment="0" applyProtection="0"/>
    <xf numFmtId="40" fontId="186" fillId="0" borderId="0" applyFont="0" applyFill="0" applyBorder="0" applyAlignment="0" applyProtection="0"/>
    <xf numFmtId="38" fontId="186" fillId="0" borderId="0" applyFont="0" applyFill="0" applyBorder="0" applyAlignment="0" applyProtection="0"/>
    <xf numFmtId="0" fontId="160" fillId="0" borderId="0" applyNumberFormat="0" applyFill="0" applyBorder="0" applyProtection="0">
      <alignment horizontal="left"/>
    </xf>
    <xf numFmtId="0" fontId="99" fillId="64" borderId="87" applyNumberFormat="0" applyAlignment="0" applyProtection="0"/>
    <xf numFmtId="0" fontId="99" fillId="69" borderId="87" applyNumberFormat="0" applyAlignment="0" applyProtection="0"/>
    <xf numFmtId="0" fontId="99" fillId="69" borderId="87" applyNumberFormat="0" applyAlignment="0" applyProtection="0"/>
    <xf numFmtId="14" fontId="152" fillId="0" borderId="0">
      <alignment horizontal="center" wrapText="1"/>
      <protection locked="0"/>
    </xf>
    <xf numFmtId="14" fontId="152" fillId="0" borderId="0">
      <alignment horizontal="center" wrapText="1"/>
      <protection locked="0"/>
    </xf>
    <xf numFmtId="14" fontId="152" fillId="0" borderId="0">
      <alignment horizontal="center" wrapText="1"/>
      <protection locked="0"/>
    </xf>
    <xf numFmtId="221" fontId="156" fillId="0" borderId="0" applyFont="0" applyFill="0" applyBorder="0" applyAlignment="0" applyProtection="0"/>
    <xf numFmtId="222"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10" fontId="4" fillId="0" borderId="0" applyFont="0" applyFill="0" applyBorder="0" applyAlignment="0" applyProtection="0"/>
    <xf numFmtId="9" fontId="123" fillId="0" borderId="0" applyFont="0" applyFill="0" applyBorder="0" applyAlignment="0" applyProtection="0"/>
    <xf numFmtId="9" fontId="148" fillId="0" borderId="0" applyFont="0" applyFill="0" applyBorder="0" applyAlignment="0" applyProtection="0"/>
    <xf numFmtId="9" fontId="148" fillId="0" borderId="0" applyFont="0" applyFill="0" applyBorder="0" applyAlignment="0" applyProtection="0"/>
    <xf numFmtId="9"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0" fontId="183" fillId="1" borderId="7" applyFill="0" applyBorder="0" applyAlignment="0" applyProtection="0"/>
    <xf numFmtId="223" fontId="4" fillId="0" borderId="0" applyFont="0" applyFill="0" applyBorder="0" applyAlignment="0" applyProtection="0"/>
    <xf numFmtId="0" fontId="187" fillId="0" borderId="0" applyNumberFormat="0" applyFill="0" applyBorder="0" applyProtection="0">
      <alignment horizontal="right"/>
    </xf>
    <xf numFmtId="193" fontId="4" fillId="0" borderId="0" applyFill="0" applyBorder="0" applyAlignment="0"/>
    <xf numFmtId="192" fontId="156" fillId="0" borderId="0" applyFill="0" applyBorder="0" applyAlignment="0"/>
    <xf numFmtId="193" fontId="4" fillId="0" borderId="0" applyFill="0" applyBorder="0" applyAlignment="0"/>
    <xf numFmtId="206" fontId="156" fillId="0" borderId="0" applyFill="0" applyBorder="0" applyAlignment="0"/>
    <xf numFmtId="192" fontId="156" fillId="0" borderId="0" applyFill="0" applyBorder="0" applyAlignment="0"/>
    <xf numFmtId="4" fontId="188" fillId="0" borderId="0" applyFont="0" applyFill="0" applyBorder="0" applyProtection="0">
      <alignment horizontal="right"/>
    </xf>
    <xf numFmtId="9" fontId="4" fillId="0" borderId="0" applyFill="0" applyBorder="0" applyAlignment="0" applyProtection="0"/>
    <xf numFmtId="9" fontId="4" fillId="0" borderId="0" applyFill="0" applyBorder="0" applyAlignment="0" applyProtection="0"/>
    <xf numFmtId="9" fontId="4" fillId="0" borderId="0" applyFont="0" applyFill="0" applyBorder="0" applyAlignment="0" applyProtection="0"/>
    <xf numFmtId="9" fontId="97"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97" fillId="0" borderId="0" applyFont="0" applyFill="0" applyBorder="0" applyAlignment="0" applyProtection="0"/>
    <xf numFmtId="9" fontId="2" fillId="0" borderId="0" applyFont="0" applyFill="0" applyBorder="0" applyAlignment="0" applyProtection="0"/>
    <xf numFmtId="9" fontId="4" fillId="0" borderId="0" applyFill="0" applyBorder="0" applyAlignment="0" applyProtection="0"/>
    <xf numFmtId="9" fontId="4" fillId="0" borderId="0" applyFont="0" applyFill="0" applyBorder="0" applyAlignment="0" applyProtection="0"/>
    <xf numFmtId="9" fontId="4" fillId="0" borderId="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ill="0" applyBorder="0" applyAlignment="0" applyProtection="0"/>
    <xf numFmtId="9" fontId="4" fillId="0" borderId="0" applyFill="0" applyBorder="0" applyAlignment="0" applyProtection="0"/>
    <xf numFmtId="9" fontId="4" fillId="0" borderId="0" applyFill="0" applyBorder="0" applyAlignment="0" applyProtection="0"/>
    <xf numFmtId="0" fontId="148" fillId="0" borderId="0" applyNumberFormat="0" applyFont="0" applyFill="0" applyBorder="0" applyAlignment="0" applyProtection="0">
      <alignment horizontal="left"/>
    </xf>
    <xf numFmtId="15" fontId="148" fillId="0" borderId="0" applyFont="0" applyFill="0" applyBorder="0" applyAlignment="0" applyProtection="0"/>
    <xf numFmtId="4" fontId="148" fillId="0" borderId="0" applyFont="0" applyFill="0" applyBorder="0" applyAlignment="0" applyProtection="0"/>
    <xf numFmtId="0" fontId="189" fillId="0" borderId="36">
      <alignment horizontal="center"/>
    </xf>
    <xf numFmtId="3" fontId="148" fillId="0" borderId="0" applyFont="0" applyFill="0" applyBorder="0" applyAlignment="0" applyProtection="0"/>
    <xf numFmtId="0" fontId="148" fillId="74" borderId="0" applyNumberFormat="0" applyFont="0" applyBorder="0" applyAlignment="0" applyProtection="0"/>
    <xf numFmtId="37" fontId="148" fillId="0" borderId="0"/>
    <xf numFmtId="0" fontId="190" fillId="0" borderId="0" applyNumberFormat="0" applyFill="0" applyBorder="0" applyAlignment="0" applyProtection="0"/>
    <xf numFmtId="0" fontId="191" fillId="0" borderId="104" applyAlignment="0">
      <alignment vertical="center" wrapText="1"/>
    </xf>
    <xf numFmtId="0" fontId="192" fillId="0" borderId="105">
      <alignment horizontal="center" vertical="center" wrapText="1"/>
    </xf>
    <xf numFmtId="0" fontId="192" fillId="0" borderId="104">
      <alignment horizontal="center" vertical="center" wrapText="1"/>
    </xf>
    <xf numFmtId="0" fontId="193" fillId="0" borderId="0"/>
    <xf numFmtId="0" fontId="99" fillId="69" borderId="87" applyNumberFormat="0" applyAlignment="0" applyProtection="0"/>
    <xf numFmtId="0" fontId="89" fillId="49" borderId="0" applyNumberFormat="0" applyBorder="0" applyAlignment="0" applyProtection="0"/>
    <xf numFmtId="0" fontId="89" fillId="47" borderId="0" applyNumberFormat="0" applyBorder="0" applyAlignment="0" applyProtection="0"/>
    <xf numFmtId="0" fontId="89" fillId="49" borderId="0" applyNumberFormat="0" applyBorder="0" applyAlignment="0" applyProtection="0"/>
    <xf numFmtId="0" fontId="194" fillId="47" borderId="0" applyNumberFormat="0" applyBorder="0" applyAlignment="0" applyProtection="0"/>
    <xf numFmtId="0" fontId="195" fillId="16" borderId="0" applyNumberFormat="0" applyBorder="0" applyAlignment="0" applyProtection="0"/>
    <xf numFmtId="0" fontId="63" fillId="16" borderId="0" applyNumberFormat="0" applyBorder="0" applyAlignment="0" applyProtection="0"/>
    <xf numFmtId="0" fontId="89" fillId="49" borderId="0" applyNumberFormat="0" applyBorder="0" applyAlignment="0" applyProtection="0"/>
    <xf numFmtId="0" fontId="89" fillId="47" borderId="0" applyNumberFormat="0" applyBorder="0" applyAlignment="0" applyProtection="0"/>
    <xf numFmtId="0" fontId="63" fillId="16" borderId="0" applyNumberFormat="0" applyBorder="0" applyAlignment="0" applyProtection="0"/>
    <xf numFmtId="0" fontId="89" fillId="49" borderId="0" applyNumberFormat="0" applyBorder="0" applyAlignment="0" applyProtection="0"/>
    <xf numFmtId="0" fontId="63" fillId="16" borderId="0" applyNumberFormat="0" applyBorder="0" applyAlignment="0" applyProtection="0"/>
    <xf numFmtId="0" fontId="196" fillId="75" borderId="98"/>
    <xf numFmtId="0" fontId="4" fillId="0" borderId="0"/>
    <xf numFmtId="224" fontId="148" fillId="0" borderId="0">
      <alignment horizontal="center"/>
    </xf>
    <xf numFmtId="224" fontId="148" fillId="0" borderId="0">
      <alignment horizont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49" fillId="0" borderId="0"/>
    <xf numFmtId="0" fontId="4" fillId="0" borderId="0"/>
    <xf numFmtId="0" fontId="123" fillId="0" borderId="0"/>
    <xf numFmtId="0" fontId="4"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97" fillId="0" borderId="0"/>
    <xf numFmtId="0" fontId="4" fillId="0" borderId="0"/>
    <xf numFmtId="0" fontId="97"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197"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8"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14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80" fillId="0" borderId="0"/>
    <xf numFmtId="49" fontId="14" fillId="0" borderId="0" applyFill="0" applyBorder="0" applyAlignment="0"/>
    <xf numFmtId="225" fontId="156" fillId="0" borderId="0" applyFill="0" applyBorder="0" applyAlignment="0"/>
    <xf numFmtId="225" fontId="4" fillId="0" borderId="0" applyFill="0" applyBorder="0" applyAlignment="0"/>
    <xf numFmtId="0" fontId="105" fillId="0" borderId="0" applyNumberFormat="0" applyFill="0" applyBorder="0" applyAlignment="0" applyProtection="0"/>
    <xf numFmtId="0" fontId="103" fillId="0" borderId="0" applyNumberFormat="0" applyFill="0" applyBorder="0" applyAlignment="0" applyProtection="0"/>
    <xf numFmtId="0" fontId="91" fillId="0" borderId="0" applyNumberFormat="0" applyFill="0" applyBorder="0" applyAlignment="0" applyProtection="0"/>
    <xf numFmtId="0" fontId="199" fillId="0" borderId="0" applyNumberFormat="0" applyFill="0" applyBorder="0" applyAlignment="0" applyProtection="0"/>
    <xf numFmtId="0" fontId="58" fillId="0" borderId="0" applyNumberFormat="0" applyFill="0" applyBorder="0" applyAlignment="0" applyProtection="0"/>
    <xf numFmtId="0" fontId="199" fillId="0" borderId="0" applyNumberFormat="0" applyFill="0" applyBorder="0" applyAlignment="0" applyProtection="0"/>
    <xf numFmtId="0" fontId="199" fillId="0" borderId="0" applyNumberFormat="0" applyFill="0" applyBorder="0" applyAlignment="0" applyProtection="0"/>
    <xf numFmtId="0" fontId="172" fillId="0" borderId="99" applyNumberFormat="0" applyFill="0" applyAlignment="0" applyProtection="0"/>
    <xf numFmtId="0" fontId="172" fillId="0" borderId="100" applyNumberFormat="0" applyFill="0" applyAlignment="0" applyProtection="0"/>
    <xf numFmtId="0" fontId="173" fillId="0" borderId="92" applyNumberFormat="0" applyFill="0" applyAlignment="0" applyProtection="0"/>
    <xf numFmtId="0" fontId="173" fillId="0" borderId="101" applyNumberFormat="0" applyFill="0" applyAlignment="0" applyProtection="0"/>
    <xf numFmtId="0" fontId="162" fillId="0" borderId="102" applyNumberFormat="0" applyFill="0" applyAlignment="0" applyProtection="0"/>
    <xf numFmtId="0" fontId="162" fillId="0" borderId="103" applyNumberFormat="0" applyFill="0" applyAlignment="0" applyProtection="0"/>
    <xf numFmtId="190" fontId="4" fillId="0" borderId="0" applyBorder="0"/>
    <xf numFmtId="0" fontId="102" fillId="0" borderId="106" applyNumberFormat="0" applyFill="0" applyAlignment="0" applyProtection="0"/>
    <xf numFmtId="0" fontId="102" fillId="0" borderId="106" applyNumberFormat="0" applyFill="0" applyAlignment="0" applyProtection="0"/>
    <xf numFmtId="0" fontId="102" fillId="0" borderId="97" applyNumberFormat="0" applyFill="0" applyAlignment="0" applyProtection="0"/>
    <xf numFmtId="0" fontId="102" fillId="0" borderId="97" applyNumberFormat="0" applyFill="0" applyAlignment="0" applyProtection="0"/>
    <xf numFmtId="0" fontId="102" fillId="0" borderId="97" applyNumberFormat="0" applyFill="0" applyAlignment="0" applyProtection="0"/>
    <xf numFmtId="0" fontId="172" fillId="0" borderId="100" applyNumberFormat="0" applyFill="0" applyAlignment="0" applyProtection="0"/>
    <xf numFmtId="0" fontId="92" fillId="0" borderId="91" applyNumberFormat="0" applyFill="0" applyAlignment="0" applyProtection="0"/>
    <xf numFmtId="0" fontId="172" fillId="0" borderId="100" applyNumberFormat="0" applyFill="0" applyAlignment="0" applyProtection="0"/>
    <xf numFmtId="0" fontId="200" fillId="0" borderId="91" applyNumberFormat="0" applyFill="0" applyAlignment="0" applyProtection="0"/>
    <xf numFmtId="0" fontId="201" fillId="0" borderId="78" applyNumberFormat="0" applyFill="0" applyAlignment="0" applyProtection="0"/>
    <xf numFmtId="0" fontId="59" fillId="0" borderId="78" applyNumberFormat="0" applyFill="0" applyAlignment="0" applyProtection="0"/>
    <xf numFmtId="0" fontId="172" fillId="0" borderId="100" applyNumberFormat="0" applyFill="0" applyAlignment="0" applyProtection="0"/>
    <xf numFmtId="0" fontId="92" fillId="0" borderId="91" applyNumberFormat="0" applyFill="0" applyAlignment="0" applyProtection="0"/>
    <xf numFmtId="0" fontId="59" fillId="0" borderId="78" applyNumberFormat="0" applyFill="0" applyAlignment="0" applyProtection="0"/>
    <xf numFmtId="0" fontId="172" fillId="0" borderId="100" applyNumberFormat="0" applyFill="0" applyAlignment="0" applyProtection="0"/>
    <xf numFmtId="0" fontId="59" fillId="0" borderId="78"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173" fillId="0" borderId="101" applyNumberFormat="0" applyFill="0" applyAlignment="0" applyProtection="0"/>
    <xf numFmtId="0" fontId="93" fillId="0" borderId="92" applyNumberFormat="0" applyFill="0" applyAlignment="0" applyProtection="0"/>
    <xf numFmtId="0" fontId="173" fillId="0" borderId="101" applyNumberFormat="0" applyFill="0" applyAlignment="0" applyProtection="0"/>
    <xf numFmtId="0" fontId="202" fillId="0" borderId="92" applyNumberFormat="0" applyFill="0" applyAlignment="0" applyProtection="0"/>
    <xf numFmtId="0" fontId="203" fillId="0" borderId="79" applyNumberFormat="0" applyFill="0" applyAlignment="0" applyProtection="0"/>
    <xf numFmtId="0" fontId="60" fillId="0" borderId="79" applyNumberFormat="0" applyFill="0" applyAlignment="0" applyProtection="0"/>
    <xf numFmtId="0" fontId="173" fillId="0" borderId="101" applyNumberFormat="0" applyFill="0" applyAlignment="0" applyProtection="0"/>
    <xf numFmtId="0" fontId="93" fillId="0" borderId="92" applyNumberFormat="0" applyFill="0" applyAlignment="0" applyProtection="0"/>
    <xf numFmtId="0" fontId="60" fillId="0" borderId="79" applyNumberFormat="0" applyFill="0" applyAlignment="0" applyProtection="0"/>
    <xf numFmtId="0" fontId="173" fillId="0" borderId="101" applyNumberFormat="0" applyFill="0" applyAlignment="0" applyProtection="0"/>
    <xf numFmtId="0" fontId="60" fillId="0" borderId="79" applyNumberFormat="0" applyFill="0" applyAlignment="0" applyProtection="0"/>
    <xf numFmtId="0" fontId="162" fillId="0" borderId="103" applyNumberFormat="0" applyFill="0" applyAlignment="0" applyProtection="0"/>
    <xf numFmtId="0" fontId="94" fillId="0" borderId="93" applyNumberFormat="0" applyFill="0" applyAlignment="0" applyProtection="0"/>
    <xf numFmtId="0" fontId="162" fillId="0" borderId="103" applyNumberFormat="0" applyFill="0" applyAlignment="0" applyProtection="0"/>
    <xf numFmtId="0" fontId="204" fillId="0" borderId="93" applyNumberFormat="0" applyFill="0" applyAlignment="0" applyProtection="0"/>
    <xf numFmtId="0" fontId="205" fillId="0" borderId="80" applyNumberFormat="0" applyFill="0" applyAlignment="0" applyProtection="0"/>
    <xf numFmtId="0" fontId="61" fillId="0" borderId="80" applyNumberFormat="0" applyFill="0" applyAlignment="0" applyProtection="0"/>
    <xf numFmtId="0" fontId="162" fillId="0" borderId="103" applyNumberFormat="0" applyFill="0" applyAlignment="0" applyProtection="0"/>
    <xf numFmtId="0" fontId="94" fillId="0" borderId="93" applyNumberFormat="0" applyFill="0" applyAlignment="0" applyProtection="0"/>
    <xf numFmtId="0" fontId="61" fillId="0" borderId="80" applyNumberFormat="0" applyFill="0" applyAlignment="0" applyProtection="0"/>
    <xf numFmtId="0" fontId="162" fillId="0" borderId="103" applyNumberFormat="0" applyFill="0" applyAlignment="0" applyProtection="0"/>
    <xf numFmtId="0" fontId="61" fillId="0" borderId="80" applyNumberFormat="0" applyFill="0" applyAlignment="0" applyProtection="0"/>
    <xf numFmtId="0" fontId="162" fillId="0" borderId="0" applyNumberFormat="0" applyFill="0" applyBorder="0" applyAlignment="0" applyProtection="0"/>
    <xf numFmtId="0" fontId="94" fillId="0" borderId="0" applyNumberFormat="0" applyFill="0" applyBorder="0" applyAlignment="0" applyProtection="0"/>
    <xf numFmtId="0" fontId="162" fillId="0" borderId="0" applyNumberFormat="0" applyFill="0" applyBorder="0" applyAlignment="0" applyProtection="0"/>
    <xf numFmtId="0" fontId="204" fillId="0" borderId="0" applyNumberFormat="0" applyFill="0" applyBorder="0" applyAlignment="0" applyProtection="0"/>
    <xf numFmtId="0" fontId="205" fillId="0" borderId="0" applyNumberFormat="0" applyFill="0" applyBorder="0" applyAlignment="0" applyProtection="0"/>
    <xf numFmtId="0" fontId="61" fillId="0" borderId="0" applyNumberFormat="0" applyFill="0" applyBorder="0" applyAlignment="0" applyProtection="0"/>
    <xf numFmtId="0" fontId="162" fillId="0" borderId="0" applyNumberFormat="0" applyFill="0" applyBorder="0" applyAlignment="0" applyProtection="0"/>
    <xf numFmtId="0" fontId="94" fillId="0" borderId="0" applyNumberFormat="0" applyFill="0" applyBorder="0" applyAlignment="0" applyProtection="0"/>
    <xf numFmtId="0" fontId="61" fillId="0" borderId="0" applyNumberFormat="0" applyFill="0" applyBorder="0" applyAlignment="0" applyProtection="0"/>
    <xf numFmtId="0" fontId="162" fillId="0" borderId="0" applyNumberFormat="0" applyFill="0" applyBorder="0" applyAlignment="0" applyProtection="0"/>
    <xf numFmtId="0" fontId="61" fillId="0" borderId="0" applyNumberFormat="0" applyFill="0" applyBorder="0" applyAlignment="0" applyProtection="0"/>
    <xf numFmtId="0" fontId="199" fillId="0" borderId="0" applyNumberFormat="0" applyFill="0" applyBorder="0" applyAlignment="0" applyProtection="0"/>
    <xf numFmtId="0" fontId="91" fillId="0" borderId="0" applyNumberFormat="0" applyFill="0" applyBorder="0" applyAlignment="0" applyProtection="0"/>
    <xf numFmtId="0" fontId="199" fillId="0" borderId="0" applyNumberFormat="0" applyFill="0" applyBorder="0" applyAlignment="0" applyProtection="0"/>
    <xf numFmtId="0" fontId="58" fillId="0" borderId="0" applyNumberFormat="0" applyFill="0" applyBorder="0" applyAlignment="0" applyProtection="0"/>
    <xf numFmtId="0" fontId="199" fillId="0" borderId="0" applyNumberFormat="0" applyFill="0" applyBorder="0" applyAlignment="0" applyProtection="0"/>
    <xf numFmtId="0" fontId="58" fillId="0" borderId="0" applyNumberFormat="0" applyFill="0" applyBorder="0" applyAlignment="0" applyProtection="0"/>
    <xf numFmtId="0" fontId="199"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0" fontId="206" fillId="0" borderId="0" applyNumberFormat="0" applyFill="0" applyBorder="0" applyAlignment="0" applyProtection="0"/>
    <xf numFmtId="0" fontId="105" fillId="0" borderId="96" applyNumberFormat="0" applyFill="0" applyAlignment="0" applyProtection="0"/>
    <xf numFmtId="0" fontId="95" fillId="0" borderId="94" applyNumberFormat="0" applyFill="0" applyAlignment="0" applyProtection="0"/>
    <xf numFmtId="0" fontId="105" fillId="0" borderId="96" applyNumberFormat="0" applyFill="0" applyAlignment="0" applyProtection="0"/>
    <xf numFmtId="0" fontId="207" fillId="0" borderId="94" applyNumberFormat="0" applyFill="0" applyAlignment="0" applyProtection="0"/>
    <xf numFmtId="0" fontId="208" fillId="0" borderId="83" applyNumberFormat="0" applyFill="0" applyAlignment="0" applyProtection="0"/>
    <xf numFmtId="0" fontId="68" fillId="0" borderId="83" applyNumberFormat="0" applyFill="0" applyAlignment="0" applyProtection="0"/>
    <xf numFmtId="0" fontId="105" fillId="0" borderId="96" applyNumberFormat="0" applyFill="0" applyAlignment="0" applyProtection="0"/>
    <xf numFmtId="0" fontId="95" fillId="0" borderId="94" applyNumberFormat="0" applyFill="0" applyAlignment="0" applyProtection="0"/>
    <xf numFmtId="0" fontId="68" fillId="0" borderId="83" applyNumberFormat="0" applyFill="0" applyAlignment="0" applyProtection="0"/>
    <xf numFmtId="0" fontId="105" fillId="0" borderId="96" applyNumberFormat="0" applyFill="0" applyAlignment="0" applyProtection="0"/>
    <xf numFmtId="0" fontId="68" fillId="0" borderId="83" applyNumberFormat="0" applyFill="0" applyAlignment="0" applyProtection="0"/>
    <xf numFmtId="0" fontId="209" fillId="76" borderId="107" applyNumberFormat="0" applyAlignment="0" applyProtection="0"/>
    <xf numFmtId="0" fontId="210" fillId="0" borderId="0" applyNumberFormat="0" applyFill="0" applyBorder="0" applyProtection="0">
      <alignment horizontal="right"/>
    </xf>
    <xf numFmtId="217" fontId="97" fillId="0" borderId="0" applyFont="0" applyFill="0" applyBorder="0" applyAlignment="0" applyProtection="0"/>
    <xf numFmtId="217" fontId="97" fillId="0" borderId="0" applyFont="0" applyFill="0" applyBorder="0" applyAlignment="0" applyProtection="0"/>
    <xf numFmtId="164"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217"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227"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217" fontId="2" fillId="0" borderId="0" applyFont="0" applyFill="0" applyBorder="0" applyAlignment="0" applyProtection="0"/>
    <xf numFmtId="164" fontId="2" fillId="0" borderId="0" applyFont="0" applyFill="0" applyBorder="0" applyAlignment="0" applyProtection="0"/>
    <xf numFmtId="228" fontId="4"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216" fontId="4" fillId="0" borderId="0" applyFont="0" applyFill="0" applyBorder="0" applyAlignment="0" applyProtection="0"/>
    <xf numFmtId="217" fontId="4" fillId="0" borderId="0" applyFont="0" applyFill="0" applyBorder="0" applyAlignment="0" applyProtection="0"/>
    <xf numFmtId="0" fontId="35" fillId="0" borderId="0" applyNumberFormat="0" applyFill="0" applyBorder="0" applyAlignment="0" applyProtection="0"/>
    <xf numFmtId="0" fontId="70"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0" fontId="70"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0" fontId="3" fillId="0" borderId="0">
      <alignment horizontal="left"/>
    </xf>
    <xf numFmtId="0" fontId="211" fillId="0" borderId="0"/>
    <xf numFmtId="0" fontId="212" fillId="65" borderId="89" applyNumberFormat="0" applyAlignment="0" applyProtection="0"/>
    <xf numFmtId="0" fontId="213" fillId="20" borderId="84" applyNumberFormat="0" applyAlignment="0" applyProtection="0"/>
    <xf numFmtId="0" fontId="69" fillId="20" borderId="84" applyNumberFormat="0" applyAlignment="0" applyProtection="0"/>
    <xf numFmtId="0" fontId="96" fillId="65" borderId="89" applyNumberFormat="0" applyAlignment="0" applyProtection="0"/>
    <xf numFmtId="0" fontId="69" fillId="20" borderId="84" applyNumberFormat="0" applyAlignment="0" applyProtection="0"/>
    <xf numFmtId="0" fontId="96" fillId="65" borderId="89" applyNumberFormat="0" applyAlignment="0" applyProtection="0"/>
    <xf numFmtId="0" fontId="69" fillId="20" borderId="84" applyNumberFormat="0" applyAlignment="0" applyProtection="0"/>
    <xf numFmtId="0" fontId="4" fillId="0" borderId="0"/>
    <xf numFmtId="0" fontId="214" fillId="0" borderId="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4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14" fillId="46"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1" borderId="0" applyNumberFormat="0" applyBorder="0" applyAlignment="0" applyProtection="0"/>
    <xf numFmtId="0" fontId="97" fillId="46" borderId="0" applyNumberFormat="0" applyBorder="0" applyAlignment="0" applyProtection="0"/>
    <xf numFmtId="0" fontId="97" fillId="47" borderId="0" applyNumberFormat="0" applyBorder="0" applyAlignment="0" applyProtection="0"/>
    <xf numFmtId="0" fontId="97" fillId="48" borderId="0" applyNumberFormat="0" applyBorder="0" applyAlignment="0" applyProtection="0"/>
    <xf numFmtId="0" fontId="97" fillId="49"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5" borderId="0" applyNumberFormat="0" applyBorder="0" applyAlignment="0" applyProtection="0"/>
    <xf numFmtId="0" fontId="97" fillId="52" borderId="0" applyNumberFormat="0" applyBorder="0" applyAlignment="0" applyProtection="0"/>
    <xf numFmtId="0" fontId="97" fillId="53" borderId="0" applyNumberFormat="0" applyBorder="0" applyAlignment="0" applyProtection="0"/>
    <xf numFmtId="0" fontId="97" fillId="54" borderId="0" applyNumberFormat="0" applyBorder="0" applyAlignment="0" applyProtection="0"/>
    <xf numFmtId="0" fontId="97" fillId="49" borderId="0" applyNumberFormat="0" applyBorder="0" applyAlignment="0" applyProtection="0"/>
    <xf numFmtId="0" fontId="97" fillId="52" borderId="0" applyNumberFormat="0" applyBorder="0" applyAlignment="0" applyProtection="0"/>
    <xf numFmtId="0" fontId="97" fillId="55" borderId="0" applyNumberFormat="0" applyBorder="0" applyAlignment="0" applyProtection="0"/>
    <xf numFmtId="0" fontId="125" fillId="56" borderId="0" applyNumberFormat="0" applyBorder="0" applyAlignment="0" applyProtection="0"/>
    <xf numFmtId="0" fontId="79" fillId="56" borderId="0" applyNumberFormat="0" applyBorder="0" applyAlignment="0" applyProtection="0"/>
    <xf numFmtId="0" fontId="125" fillId="53" borderId="0" applyNumberFormat="0" applyBorder="0" applyAlignment="0" applyProtection="0"/>
    <xf numFmtId="0" fontId="125" fillId="54" borderId="0" applyNumberFormat="0" applyBorder="0" applyAlignment="0" applyProtection="0"/>
    <xf numFmtId="0" fontId="79" fillId="54" borderId="0" applyNumberFormat="0" applyBorder="0" applyAlignment="0" applyProtection="0"/>
    <xf numFmtId="0" fontId="125" fillId="57" borderId="0" applyNumberFormat="0" applyBorder="0" applyAlignment="0" applyProtection="0"/>
    <xf numFmtId="0" fontId="79" fillId="57" borderId="0" applyNumberFormat="0" applyBorder="0" applyAlignment="0" applyProtection="0"/>
    <xf numFmtId="0" fontId="125" fillId="58" borderId="0" applyNumberFormat="0" applyBorder="0" applyAlignment="0" applyProtection="0"/>
    <xf numFmtId="0" fontId="125" fillId="59" borderId="0" applyNumberFormat="0" applyBorder="0" applyAlignment="0" applyProtection="0"/>
    <xf numFmtId="0" fontId="79" fillId="59" borderId="0" applyNumberFormat="0" applyBorder="0" applyAlignment="0" applyProtection="0"/>
    <xf numFmtId="0" fontId="79" fillId="56" borderId="0" applyNumberFormat="0" applyBorder="0" applyAlignment="0" applyProtection="0"/>
    <xf numFmtId="0" fontId="79" fillId="53" borderId="0" applyNumberFormat="0" applyBorder="0" applyAlignment="0" applyProtection="0"/>
    <xf numFmtId="0" fontId="79" fillId="54" borderId="0" applyNumberFormat="0" applyBorder="0" applyAlignment="0" applyProtection="0"/>
    <xf numFmtId="0" fontId="79" fillId="57" borderId="0" applyNumberFormat="0" applyBorder="0" applyAlignment="0" applyProtection="0"/>
    <xf numFmtId="0" fontId="79" fillId="58" borderId="0" applyNumberFormat="0" applyBorder="0" applyAlignment="0" applyProtection="0"/>
    <xf numFmtId="0" fontId="79" fillId="59" borderId="0" applyNumberFormat="0" applyBorder="0" applyAlignment="0" applyProtection="0"/>
    <xf numFmtId="0" fontId="125" fillId="60" borderId="0" applyNumberFormat="0" applyBorder="0" applyAlignment="0" applyProtection="0"/>
    <xf numFmtId="0" fontId="125" fillId="61" borderId="0" applyNumberFormat="0" applyBorder="0" applyAlignment="0" applyProtection="0"/>
    <xf numFmtId="0" fontId="125" fillId="62" borderId="0" applyNumberFormat="0" applyBorder="0" applyAlignment="0" applyProtection="0"/>
    <xf numFmtId="0" fontId="125" fillId="57" borderId="0" applyNumberFormat="0" applyBorder="0" applyAlignment="0" applyProtection="0"/>
    <xf numFmtId="0" fontId="125" fillId="58" borderId="0" applyNumberFormat="0" applyBorder="0" applyAlignment="0" applyProtection="0"/>
    <xf numFmtId="0" fontId="125" fillId="63" borderId="0" applyNumberFormat="0" applyBorder="0" applyAlignment="0" applyProtection="0"/>
    <xf numFmtId="0" fontId="194" fillId="47" borderId="0" applyNumberFormat="0" applyBorder="0" applyAlignment="0" applyProtection="0"/>
    <xf numFmtId="0" fontId="212" fillId="65" borderId="89" applyNumberFormat="0" applyAlignment="0" applyProtection="0"/>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77" borderId="0" applyNumberFormat="0" applyFont="0" applyBorder="0" applyAlignment="0" applyProtection="0">
      <alignment horizontal="left" vertical="top" wrapText="1"/>
      <protection locked="0"/>
    </xf>
    <xf numFmtId="0" fontId="169" fillId="48" borderId="0" applyNumberFormat="0" applyBorder="0" applyAlignment="0" applyProtection="0"/>
    <xf numFmtId="0" fontId="200" fillId="0" borderId="91" applyNumberFormat="0" applyFill="0" applyAlignment="0" applyProtection="0"/>
    <xf numFmtId="0" fontId="202" fillId="0" borderId="92" applyNumberFormat="0" applyFill="0" applyAlignment="0" applyProtection="0"/>
    <xf numFmtId="0" fontId="204" fillId="0" borderId="93" applyNumberFormat="0" applyFill="0" applyAlignment="0" applyProtection="0"/>
    <xf numFmtId="0" fontId="204" fillId="0" borderId="0" applyNumberFormat="0" applyFill="0" applyBorder="0" applyAlignment="0" applyProtection="0"/>
    <xf numFmtId="0" fontId="18" fillId="0" borderId="0" applyNumberFormat="0" applyFont="0" applyFill="0" applyBorder="0" applyProtection="0">
      <alignment horizontal="center" vertical="center" wrapText="1"/>
      <protection locked="0"/>
    </xf>
    <xf numFmtId="0" fontId="18" fillId="0" borderId="0" applyNumberFormat="0" applyFont="0" applyFill="0" applyBorder="0" applyProtection="0">
      <alignment horizontal="center" vertical="center" wrapText="1"/>
      <protection locked="0"/>
    </xf>
    <xf numFmtId="0" fontId="207" fillId="0" borderId="94" applyNumberFormat="0" applyFill="0" applyAlignment="0" applyProtection="0"/>
    <xf numFmtId="0" fontId="104" fillId="66" borderId="0" applyNumberFormat="0" applyBorder="0" applyAlignment="0" applyProtection="0"/>
    <xf numFmtId="0" fontId="104" fillId="66" borderId="0" applyNumberFormat="0" applyBorder="0" applyAlignment="0" applyProtection="0"/>
    <xf numFmtId="0" fontId="18" fillId="2" borderId="0" applyNumberFormat="0" applyFont="0" applyBorder="0" applyAlignment="0" applyProtection="0">
      <alignment horizontal="left" vertical="top" wrapText="1"/>
      <protection locked="0"/>
    </xf>
    <xf numFmtId="0" fontId="18" fillId="2" borderId="0" applyNumberFormat="0" applyFont="0" applyBorder="0" applyAlignment="0" applyProtection="0">
      <alignment horizontal="left" vertical="top" wrapText="1"/>
      <protection locked="0"/>
    </xf>
    <xf numFmtId="0" fontId="18" fillId="2" borderId="0" applyNumberFormat="0" applyFont="0" applyBorder="0" applyAlignment="0" applyProtection="0">
      <alignment horizontal="left" vertical="top" wrapText="1"/>
      <protection locked="0"/>
    </xf>
    <xf numFmtId="0" fontId="18" fillId="2" borderId="0" applyNumberFormat="0" applyFont="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0" fontId="18" fillId="77" borderId="0" applyNumberFormat="0" applyFont="0" applyBorder="0" applyAlignment="0" applyProtection="0">
      <alignment horizontal="left" vertical="top" wrapText="1"/>
      <protection locked="0"/>
    </xf>
    <xf numFmtId="0" fontId="4" fillId="0" borderId="0"/>
    <xf numFmtId="0" fontId="2" fillId="0" borderId="0"/>
    <xf numFmtId="0" fontId="2" fillId="0" borderId="0"/>
    <xf numFmtId="0" fontId="2" fillId="0" borderId="0"/>
    <xf numFmtId="0" fontId="2" fillId="0" borderId="0"/>
    <xf numFmtId="0" fontId="18" fillId="0" borderId="0" applyBorder="0" applyProtection="0">
      <alignment horizontal="left" vertical="top" wrapText="1"/>
      <protection locked="0"/>
    </xf>
    <xf numFmtId="0" fontId="18" fillId="0" borderId="0" applyBorder="0" applyProtection="0">
      <alignment horizontal="left" vertical="top" wrapText="1"/>
      <protection locked="0"/>
    </xf>
    <xf numFmtId="0" fontId="4" fillId="0" borderId="0"/>
    <xf numFmtId="0" fontId="4" fillId="0" borderId="0"/>
    <xf numFmtId="0" fontId="74" fillId="0" borderId="0"/>
    <xf numFmtId="0" fontId="4" fillId="0" borderId="0"/>
    <xf numFmtId="0" fontId="2" fillId="0" borderId="0"/>
    <xf numFmtId="0" fontId="2" fillId="0" borderId="0"/>
    <xf numFmtId="0" fontId="2" fillId="0" borderId="0"/>
    <xf numFmtId="0" fontId="2" fillId="0" borderId="0"/>
    <xf numFmtId="0" fontId="74" fillId="0" borderId="0"/>
    <xf numFmtId="0" fontId="74" fillId="0" borderId="0"/>
    <xf numFmtId="0" fontId="2" fillId="0" borderId="0"/>
    <xf numFmtId="0" fontId="2" fillId="0" borderId="0"/>
    <xf numFmtId="0" fontId="74" fillId="0" borderId="0"/>
    <xf numFmtId="0" fontId="4" fillId="0" borderId="0"/>
    <xf numFmtId="0" fontId="2" fillId="0" borderId="0"/>
    <xf numFmtId="0" fontId="2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0" borderId="0"/>
    <xf numFmtId="0" fontId="9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applyNumberFormat="0" applyFont="0" applyFill="0" applyBorder="0" applyAlignment="0" applyProtection="0">
      <alignment horizontal="left" vertical="top" wrapText="1"/>
      <protection locked="0"/>
    </xf>
    <xf numFmtId="0" fontId="18" fillId="0" borderId="0" applyNumberFormat="0" applyFont="0" applyFill="0" applyBorder="0" applyAlignment="0" applyProtection="0">
      <alignment horizontal="left" vertical="top" wrapText="1"/>
      <protection locked="0"/>
    </xf>
    <xf numFmtId="164" fontId="4" fillId="0" borderId="0" applyFont="0" applyFill="0" applyBorder="0" applyAlignment="0" applyProtection="0"/>
    <xf numFmtId="164" fontId="4" fillId="0" borderId="0" applyFont="0" applyFill="0" applyBorder="0" applyAlignment="0" applyProtection="0"/>
    <xf numFmtId="0" fontId="2" fillId="0" borderId="0"/>
    <xf numFmtId="0" fontId="4" fillId="0" borderId="0"/>
    <xf numFmtId="0" fontId="4" fillId="0" borderId="0"/>
    <xf numFmtId="0" fontId="1" fillId="0" borderId="0"/>
  </cellStyleXfs>
  <cellXfs count="975">
    <xf numFmtId="0" fontId="0" fillId="0" borderId="0" xfId="0"/>
    <xf numFmtId="49" fontId="0" fillId="0" borderId="0" xfId="0" applyNumberFormat="1"/>
    <xf numFmtId="0" fontId="0" fillId="0" borderId="0" xfId="0" applyAlignment="1">
      <alignment horizontal="center"/>
    </xf>
    <xf numFmtId="0" fontId="4" fillId="0" borderId="0" xfId="0" applyFont="1" applyAlignment="1" applyProtection="1">
      <alignment vertical="center"/>
      <protection locked="0"/>
    </xf>
    <xf numFmtId="0" fontId="17" fillId="3" borderId="0" xfId="18" applyFill="1" applyProtection="1">
      <protection locked="0"/>
    </xf>
    <xf numFmtId="0" fontId="17" fillId="3" borderId="0" xfId="18" applyFill="1" applyAlignment="1" applyProtection="1">
      <alignment vertical="center"/>
      <protection locked="0"/>
    </xf>
    <xf numFmtId="0" fontId="4" fillId="3" borderId="0" xfId="18" applyFont="1" applyFill="1" applyAlignment="1" applyProtection="1">
      <alignment horizontal="center" vertical="center"/>
      <protection locked="0"/>
    </xf>
    <xf numFmtId="0" fontId="4" fillId="3" borderId="0" xfId="18" applyFont="1" applyFill="1" applyAlignment="1" applyProtection="1">
      <alignment vertical="center"/>
      <protection hidden="1"/>
    </xf>
    <xf numFmtId="9" fontId="17" fillId="3" borderId="18" xfId="18" applyNumberFormat="1" applyFill="1" applyBorder="1" applyAlignment="1" applyProtection="1">
      <alignment horizontal="center" vertical="center"/>
      <protection locked="0"/>
    </xf>
    <xf numFmtId="0" fontId="17" fillId="3" borderId="18" xfId="18" applyFill="1" applyBorder="1" applyAlignment="1" applyProtection="1">
      <alignment vertical="center"/>
      <protection locked="0"/>
    </xf>
    <xf numFmtId="2" fontId="17" fillId="3" borderId="0" xfId="18" applyNumberFormat="1" applyFill="1" applyAlignment="1">
      <alignment vertical="center"/>
    </xf>
    <xf numFmtId="0" fontId="17" fillId="3" borderId="0" xfId="18" applyFill="1" applyAlignment="1">
      <alignment vertical="center"/>
    </xf>
    <xf numFmtId="167" fontId="17" fillId="3" borderId="0" xfId="18" applyNumberFormat="1" applyFill="1" applyAlignment="1" applyProtection="1">
      <alignment horizontal="center" vertical="center"/>
      <protection locked="0"/>
    </xf>
    <xf numFmtId="2" fontId="17" fillId="3" borderId="36" xfId="18" applyNumberFormat="1" applyFill="1" applyBorder="1" applyAlignment="1">
      <alignment vertical="center"/>
    </xf>
    <xf numFmtId="0" fontId="17" fillId="3" borderId="36" xfId="18" applyFill="1" applyBorder="1" applyAlignment="1">
      <alignment vertical="center"/>
    </xf>
    <xf numFmtId="167" fontId="17" fillId="3" borderId="36" xfId="18" applyNumberFormat="1" applyFill="1" applyBorder="1" applyAlignment="1" applyProtection="1">
      <alignment horizontal="center" vertical="center"/>
      <protection locked="0"/>
    </xf>
    <xf numFmtId="0" fontId="4" fillId="7" borderId="41" xfId="13" applyFill="1" applyBorder="1" applyAlignment="1">
      <alignment horizontal="center" vertical="center"/>
    </xf>
    <xf numFmtId="0" fontId="4" fillId="7" borderId="59" xfId="13" applyFill="1" applyBorder="1" applyAlignment="1">
      <alignment horizontal="center" vertical="center"/>
    </xf>
    <xf numFmtId="0" fontId="15" fillId="7" borderId="2" xfId="13" applyFont="1" applyFill="1" applyBorder="1" applyAlignment="1">
      <alignment horizontal="center" vertical="center"/>
    </xf>
    <xf numFmtId="0" fontId="5" fillId="4" borderId="60" xfId="14" applyFont="1" applyFill="1" applyBorder="1" applyAlignment="1">
      <alignment horizontal="left"/>
    </xf>
    <xf numFmtId="0" fontId="5" fillId="4" borderId="54" xfId="14" applyFont="1" applyFill="1" applyBorder="1" applyAlignment="1">
      <alignment horizontal="center"/>
    </xf>
    <xf numFmtId="0" fontId="4" fillId="7" borderId="61" xfId="13" applyFill="1" applyBorder="1" applyAlignment="1">
      <alignment horizontal="center" vertical="center"/>
    </xf>
    <xf numFmtId="0" fontId="15" fillId="7" borderId="49" xfId="13" applyFont="1" applyFill="1" applyBorder="1" applyAlignment="1">
      <alignment horizontal="center" vertical="center"/>
    </xf>
    <xf numFmtId="0" fontId="4" fillId="7" borderId="57" xfId="13" applyFill="1" applyBorder="1" applyAlignment="1">
      <alignment horizontal="center" vertical="center"/>
    </xf>
    <xf numFmtId="0" fontId="15" fillId="7" borderId="36" xfId="13" applyFont="1" applyFill="1" applyBorder="1" applyAlignment="1">
      <alignment horizontal="center" vertical="center"/>
    </xf>
    <xf numFmtId="0" fontId="28" fillId="0" borderId="0" xfId="14" applyFont="1"/>
    <xf numFmtId="0" fontId="28" fillId="0" borderId="0" xfId="0" applyFont="1"/>
    <xf numFmtId="0" fontId="35" fillId="7" borderId="61" xfId="13" applyFont="1" applyFill="1" applyBorder="1" applyAlignment="1" applyProtection="1">
      <alignment horizontal="center" vertical="center"/>
      <protection locked="0"/>
    </xf>
    <xf numFmtId="0" fontId="36" fillId="7" borderId="49" xfId="13" applyFont="1" applyFill="1" applyBorder="1" applyAlignment="1" applyProtection="1">
      <alignment horizontal="center" vertical="center"/>
      <protection locked="0"/>
    </xf>
    <xf numFmtId="0" fontId="35" fillId="7" borderId="59" xfId="13" applyFont="1" applyFill="1" applyBorder="1" applyAlignment="1" applyProtection="1">
      <alignment horizontal="center" vertical="center"/>
      <protection locked="0"/>
    </xf>
    <xf numFmtId="0" fontId="36" fillId="7" borderId="2" xfId="13" applyFont="1" applyFill="1" applyBorder="1" applyAlignment="1" applyProtection="1">
      <alignment horizontal="center" vertical="center"/>
      <protection locked="0"/>
    </xf>
    <xf numFmtId="0" fontId="21" fillId="3" borderId="0" xfId="18" applyFont="1" applyFill="1" applyAlignment="1" applyProtection="1">
      <alignment vertical="center"/>
      <protection locked="0"/>
    </xf>
    <xf numFmtId="0" fontId="19" fillId="3" borderId="0" xfId="15" applyFont="1" applyFill="1" applyAlignment="1" applyProtection="1">
      <alignment horizontal="center" vertical="center"/>
      <protection locked="0"/>
    </xf>
    <xf numFmtId="0" fontId="19" fillId="3" borderId="0" xfId="18" applyFont="1" applyFill="1" applyAlignment="1">
      <alignment horizontal="center" vertical="center"/>
    </xf>
    <xf numFmtId="167" fontId="7" fillId="3" borderId="18" xfId="18" applyNumberFormat="1" applyFont="1" applyFill="1" applyBorder="1" applyAlignment="1" applyProtection="1">
      <alignment vertical="center"/>
      <protection locked="0"/>
    </xf>
    <xf numFmtId="0" fontId="38" fillId="0" borderId="51" xfId="0" applyFont="1" applyBorder="1" applyAlignment="1">
      <alignment horizontal="center" vertical="center" wrapText="1"/>
    </xf>
    <xf numFmtId="0" fontId="38" fillId="0" borderId="35" xfId="0" applyFont="1" applyBorder="1" applyAlignment="1">
      <alignment horizontal="center" vertical="center" wrapText="1"/>
    </xf>
    <xf numFmtId="0" fontId="38" fillId="0" borderId="50" xfId="0" applyFont="1" applyBorder="1" applyAlignment="1">
      <alignment horizontal="center" vertical="center" wrapText="1"/>
    </xf>
    <xf numFmtId="0" fontId="38" fillId="0" borderId="61" xfId="0" applyFont="1" applyBorder="1" applyAlignment="1">
      <alignment horizontal="center" vertical="center" wrapText="1"/>
    </xf>
    <xf numFmtId="0" fontId="38" fillId="0" borderId="56" xfId="0" applyFont="1" applyBorder="1" applyAlignment="1">
      <alignment horizontal="center" vertical="center" wrapText="1"/>
    </xf>
    <xf numFmtId="0" fontId="38" fillId="0" borderId="29" xfId="0" applyFont="1" applyBorder="1" applyAlignment="1">
      <alignment horizontal="center" vertical="center" wrapText="1"/>
    </xf>
    <xf numFmtId="0" fontId="38" fillId="0" borderId="73" xfId="0" applyFont="1" applyBorder="1" applyAlignment="1">
      <alignment horizontal="center" vertical="center" wrapText="1"/>
    </xf>
    <xf numFmtId="0" fontId="38" fillId="0" borderId="23" xfId="0" applyFont="1" applyBorder="1" applyAlignment="1">
      <alignment horizontal="center" vertical="center" wrapText="1"/>
    </xf>
    <xf numFmtId="0" fontId="38" fillId="0" borderId="57" xfId="0" applyFont="1" applyBorder="1" applyAlignment="1">
      <alignment horizontal="center" vertical="center" wrapText="1"/>
    </xf>
    <xf numFmtId="0" fontId="38" fillId="0" borderId="67" xfId="0" applyFont="1" applyBorder="1" applyAlignment="1">
      <alignment horizontal="center" vertical="center" wrapText="1"/>
    </xf>
    <xf numFmtId="0" fontId="38" fillId="0" borderId="52" xfId="0" applyFont="1" applyBorder="1" applyAlignment="1">
      <alignment horizontal="center" vertical="center" wrapText="1"/>
    </xf>
    <xf numFmtId="0" fontId="23" fillId="3" borderId="0" xfId="15" applyFont="1" applyFill="1" applyAlignment="1" applyProtection="1">
      <alignment vertical="center" wrapText="1"/>
      <protection locked="0"/>
    </xf>
    <xf numFmtId="0" fontId="4" fillId="3" borderId="0" xfId="18" applyFont="1" applyFill="1" applyAlignment="1" applyProtection="1">
      <alignment vertical="center"/>
      <protection locked="0"/>
    </xf>
    <xf numFmtId="49" fontId="31" fillId="3" borderId="0" xfId="18" applyNumberFormat="1" applyFont="1" applyFill="1" applyAlignment="1" applyProtection="1">
      <alignment vertical="center"/>
      <protection locked="0"/>
    </xf>
    <xf numFmtId="0" fontId="26" fillId="3" borderId="0" xfId="18" applyFont="1" applyFill="1" applyProtection="1">
      <protection hidden="1"/>
    </xf>
    <xf numFmtId="0" fontId="38" fillId="0" borderId="14" xfId="0" applyFont="1" applyBorder="1" applyAlignment="1">
      <alignment horizontal="center" vertical="center" wrapText="1"/>
    </xf>
    <xf numFmtId="0" fontId="38" fillId="0" borderId="32" xfId="0" applyFont="1" applyBorder="1" applyAlignment="1">
      <alignment horizontal="center" vertical="center" wrapText="1"/>
    </xf>
    <xf numFmtId="0" fontId="19" fillId="3" borderId="27" xfId="18" applyFont="1" applyFill="1" applyBorder="1" applyAlignment="1">
      <alignment horizontal="center" vertical="center"/>
    </xf>
    <xf numFmtId="0" fontId="19" fillId="3" borderId="27" xfId="15" applyFont="1" applyFill="1" applyBorder="1" applyAlignment="1" applyProtection="1">
      <alignment horizontal="center" vertical="center"/>
      <protection locked="0"/>
    </xf>
    <xf numFmtId="168" fontId="32" fillId="6" borderId="20" xfId="18" applyNumberFormat="1" applyFont="1" applyFill="1" applyBorder="1" applyAlignment="1" applyProtection="1">
      <alignment horizontal="center" vertical="center"/>
      <protection locked="0"/>
    </xf>
    <xf numFmtId="0" fontId="16" fillId="6" borderId="21" xfId="18" applyFont="1" applyFill="1" applyBorder="1" applyAlignment="1" applyProtection="1">
      <alignment horizontal="center" vertical="center"/>
      <protection locked="0"/>
    </xf>
    <xf numFmtId="168" fontId="32" fillId="6" borderId="25" xfId="18" applyNumberFormat="1" applyFont="1" applyFill="1" applyBorder="1" applyAlignment="1" applyProtection="1">
      <alignment horizontal="center" vertical="center"/>
      <protection locked="0"/>
    </xf>
    <xf numFmtId="0" fontId="16" fillId="6" borderId="31" xfId="18" applyFont="1" applyFill="1" applyBorder="1" applyAlignment="1" applyProtection="1">
      <alignment horizontal="center" vertical="center"/>
      <protection locked="0"/>
    </xf>
    <xf numFmtId="0" fontId="17" fillId="3" borderId="0" xfId="18" applyFill="1"/>
    <xf numFmtId="0" fontId="4" fillId="3" borderId="0" xfId="18" applyFont="1" applyFill="1" applyAlignment="1">
      <alignment vertical="center"/>
    </xf>
    <xf numFmtId="0" fontId="4" fillId="3" borderId="0" xfId="18" applyFont="1" applyFill="1" applyAlignment="1">
      <alignment horizontal="center" vertical="center"/>
    </xf>
    <xf numFmtId="0" fontId="42" fillId="3" borderId="13" xfId="18" applyFont="1" applyFill="1" applyBorder="1" applyAlignment="1" applyProtection="1">
      <alignment vertical="center"/>
      <protection locked="0"/>
    </xf>
    <xf numFmtId="168" fontId="48" fillId="12" borderId="25" xfId="18" applyNumberFormat="1" applyFont="1" applyFill="1" applyBorder="1" applyAlignment="1" applyProtection="1">
      <alignment horizontal="center" vertical="center" wrapText="1" shrinkToFit="1"/>
      <protection hidden="1"/>
    </xf>
    <xf numFmtId="168" fontId="48" fillId="12" borderId="21" xfId="18" applyNumberFormat="1" applyFont="1" applyFill="1" applyBorder="1" applyAlignment="1" applyProtection="1">
      <alignment horizontal="center" vertical="center" wrapText="1" shrinkToFit="1"/>
      <protection hidden="1"/>
    </xf>
    <xf numFmtId="3" fontId="28" fillId="6" borderId="38" xfId="18" applyNumberFormat="1" applyFont="1" applyFill="1" applyBorder="1" applyAlignment="1" applyProtection="1">
      <alignment horizontal="center" vertical="center" wrapText="1" shrinkToFit="1"/>
      <protection locked="0"/>
    </xf>
    <xf numFmtId="3" fontId="28" fillId="6" borderId="22" xfId="18" applyNumberFormat="1" applyFont="1" applyFill="1" applyBorder="1" applyAlignment="1" applyProtection="1">
      <alignment horizontal="center" vertical="center" wrapText="1" shrinkToFit="1"/>
      <protection locked="0"/>
    </xf>
    <xf numFmtId="3" fontId="49" fillId="0" borderId="76" xfId="18" applyNumberFormat="1" applyFont="1" applyBorder="1" applyAlignment="1" applyProtection="1">
      <alignment horizontal="center" vertical="center" wrapText="1" shrinkToFit="1"/>
      <protection locked="0" hidden="1"/>
    </xf>
    <xf numFmtId="2" fontId="11" fillId="13" borderId="39" xfId="18" applyNumberFormat="1" applyFont="1" applyFill="1" applyBorder="1" applyAlignment="1" applyProtection="1">
      <alignment horizontal="center" vertical="center"/>
      <protection hidden="1"/>
    </xf>
    <xf numFmtId="167" fontId="22" fillId="13" borderId="20" xfId="18" quotePrefix="1" applyNumberFormat="1" applyFont="1" applyFill="1" applyBorder="1" applyAlignment="1" applyProtection="1">
      <alignment horizontal="center" vertical="center"/>
      <protection hidden="1"/>
    </xf>
    <xf numFmtId="0" fontId="22" fillId="13" borderId="25" xfId="18" quotePrefix="1" applyFont="1" applyFill="1" applyBorder="1" applyAlignment="1" applyProtection="1">
      <alignment horizontal="center" vertical="center"/>
      <protection hidden="1"/>
    </xf>
    <xf numFmtId="0" fontId="22" fillId="13" borderId="31" xfId="18" applyFont="1" applyFill="1" applyBorder="1" applyAlignment="1" applyProtection="1">
      <alignment horizontal="center" vertical="center"/>
      <protection hidden="1"/>
    </xf>
    <xf numFmtId="0" fontId="22" fillId="13" borderId="20" xfId="18" applyFont="1" applyFill="1" applyBorder="1" applyAlignment="1" applyProtection="1">
      <alignment horizontal="center" vertical="center"/>
      <protection hidden="1"/>
    </xf>
    <xf numFmtId="0" fontId="22" fillId="13" borderId="21" xfId="18" applyFont="1" applyFill="1" applyBorder="1" applyAlignment="1" applyProtection="1">
      <alignment horizontal="center" vertical="center"/>
      <protection hidden="1"/>
    </xf>
    <xf numFmtId="0" fontId="22" fillId="13" borderId="40" xfId="18" applyFont="1" applyFill="1" applyBorder="1" applyAlignment="1" applyProtection="1">
      <alignment horizontal="center" vertical="center"/>
      <protection hidden="1"/>
    </xf>
    <xf numFmtId="167" fontId="11" fillId="13" borderId="20" xfId="18" applyNumberFormat="1" applyFont="1" applyFill="1" applyBorder="1" applyAlignment="1" applyProtection="1">
      <alignment horizontal="center" vertical="center"/>
      <protection hidden="1"/>
    </xf>
    <xf numFmtId="2" fontId="50" fillId="13" borderId="42" xfId="18" applyNumberFormat="1" applyFont="1" applyFill="1" applyBorder="1" applyAlignment="1" applyProtection="1">
      <alignment horizontal="center" vertical="center"/>
      <protection hidden="1"/>
    </xf>
    <xf numFmtId="2" fontId="37" fillId="13" borderId="4" xfId="18" applyNumberFormat="1" applyFont="1" applyFill="1" applyBorder="1" applyAlignment="1" applyProtection="1">
      <alignment horizontal="center" vertical="center"/>
      <protection hidden="1"/>
    </xf>
    <xf numFmtId="2" fontId="37" fillId="13" borderId="16" xfId="18" applyNumberFormat="1" applyFont="1" applyFill="1" applyBorder="1" applyAlignment="1" applyProtection="1">
      <alignment horizontal="center" vertical="center"/>
      <protection hidden="1"/>
    </xf>
    <xf numFmtId="0" fontId="11" fillId="13" borderId="20" xfId="18" applyFont="1" applyFill="1" applyBorder="1" applyAlignment="1" applyProtection="1">
      <alignment horizontal="center" vertical="center"/>
      <protection hidden="1"/>
    </xf>
    <xf numFmtId="2" fontId="11" fillId="13" borderId="56" xfId="18" applyNumberFormat="1" applyFont="1" applyFill="1" applyBorder="1" applyAlignment="1" applyProtection="1">
      <alignment horizontal="center" vertical="center"/>
      <protection hidden="1"/>
    </xf>
    <xf numFmtId="2" fontId="11" fillId="13" borderId="40" xfId="18" applyNumberFormat="1" applyFont="1" applyFill="1" applyBorder="1" applyAlignment="1" applyProtection="1">
      <alignment horizontal="center" vertical="center"/>
      <protection hidden="1"/>
    </xf>
    <xf numFmtId="2" fontId="11" fillId="13" borderId="26" xfId="18" applyNumberFormat="1" applyFont="1" applyFill="1" applyBorder="1" applyAlignment="1" applyProtection="1">
      <alignment horizontal="center" vertical="center"/>
      <protection hidden="1"/>
    </xf>
    <xf numFmtId="2" fontId="11" fillId="13" borderId="43" xfId="18" applyNumberFormat="1" applyFont="1" applyFill="1" applyBorder="1" applyAlignment="1" applyProtection="1">
      <alignment horizontal="center" vertical="center"/>
      <protection hidden="1"/>
    </xf>
    <xf numFmtId="167" fontId="16" fillId="13" borderId="40" xfId="18" applyNumberFormat="1" applyFont="1" applyFill="1" applyBorder="1" applyAlignment="1" applyProtection="1">
      <alignment horizontal="center" vertical="center" wrapText="1" shrinkToFit="1"/>
      <protection hidden="1"/>
    </xf>
    <xf numFmtId="2" fontId="8" fillId="13" borderId="31" xfId="18" applyNumberFormat="1" applyFont="1" applyFill="1" applyBorder="1" applyAlignment="1" applyProtection="1">
      <alignment horizontal="center" vertical="center"/>
      <protection hidden="1"/>
    </xf>
    <xf numFmtId="0" fontId="22" fillId="0" borderId="11" xfId="0" applyFont="1" applyBorder="1" applyAlignment="1" applyProtection="1">
      <alignment horizontal="center" vertical="center" wrapText="1"/>
      <protection locked="0"/>
    </xf>
    <xf numFmtId="0" fontId="22" fillId="3" borderId="30" xfId="16" applyFont="1" applyFill="1" applyBorder="1" applyAlignment="1" applyProtection="1">
      <alignment horizontal="center" vertical="center" wrapText="1"/>
      <protection locked="0"/>
    </xf>
    <xf numFmtId="1" fontId="22" fillId="3" borderId="28" xfId="18" applyNumberFormat="1" applyFont="1" applyFill="1" applyBorder="1" applyAlignment="1" applyProtection="1">
      <alignment horizontal="center" vertical="center" wrapText="1" shrinkToFit="1"/>
      <protection locked="0"/>
    </xf>
    <xf numFmtId="0" fontId="22" fillId="0" borderId="19" xfId="0" applyFont="1" applyBorder="1" applyAlignment="1" applyProtection="1">
      <alignment horizontal="center" vertical="center" wrapText="1"/>
      <protection locked="0"/>
    </xf>
    <xf numFmtId="1" fontId="22" fillId="3" borderId="39" xfId="17" applyNumberFormat="1" applyFont="1" applyFill="1" applyBorder="1" applyAlignment="1" applyProtection="1">
      <alignment horizontal="center" vertical="center" shrinkToFit="1"/>
      <protection locked="0"/>
    </xf>
    <xf numFmtId="0" fontId="22" fillId="3" borderId="62" xfId="18" applyFont="1" applyFill="1" applyBorder="1" applyAlignment="1" applyProtection="1">
      <alignment horizontal="center" vertical="center" shrinkToFit="1"/>
      <protection locked="0"/>
    </xf>
    <xf numFmtId="0" fontId="19" fillId="3" borderId="18" xfId="18" applyFont="1" applyFill="1" applyBorder="1" applyAlignment="1">
      <alignment horizontal="center" vertical="center"/>
    </xf>
    <xf numFmtId="0" fontId="23" fillId="3" borderId="27" xfId="15" quotePrefix="1" applyFont="1" applyFill="1" applyBorder="1" applyAlignment="1" applyProtection="1">
      <alignment vertical="center" wrapText="1"/>
      <protection locked="0"/>
    </xf>
    <xf numFmtId="0" fontId="19" fillId="3" borderId="28" xfId="18" applyFont="1" applyFill="1" applyBorder="1" applyAlignment="1">
      <alignment horizontal="center" vertical="center"/>
    </xf>
    <xf numFmtId="0" fontId="4" fillId="3" borderId="2" xfId="18" applyFont="1" applyFill="1" applyBorder="1" applyAlignment="1" applyProtection="1">
      <alignment vertical="center"/>
      <protection locked="0"/>
    </xf>
    <xf numFmtId="0" fontId="19" fillId="3" borderId="28" xfId="18" applyFont="1" applyFill="1" applyBorder="1" applyAlignment="1">
      <alignment vertical="center"/>
    </xf>
    <xf numFmtId="0" fontId="4" fillId="3" borderId="18" xfId="18" applyFont="1" applyFill="1" applyBorder="1" applyAlignment="1" applyProtection="1">
      <alignment vertical="center"/>
      <protection locked="0"/>
    </xf>
    <xf numFmtId="2" fontId="11" fillId="13" borderId="20" xfId="18" applyNumberFormat="1" applyFont="1" applyFill="1" applyBorder="1" applyAlignment="1" applyProtection="1">
      <alignment horizontal="center" vertical="center"/>
      <protection hidden="1"/>
    </xf>
    <xf numFmtId="2" fontId="11" fillId="13" borderId="21" xfId="18" applyNumberFormat="1" applyFont="1" applyFill="1" applyBorder="1" applyAlignment="1" applyProtection="1">
      <alignment horizontal="center" vertical="center"/>
      <protection hidden="1"/>
    </xf>
    <xf numFmtId="2" fontId="27" fillId="0" borderId="18" xfId="2" applyNumberFormat="1" applyFont="1" applyFill="1" applyBorder="1" applyAlignment="1" applyProtection="1">
      <alignment horizontal="center" vertical="center" wrapText="1"/>
      <protection locked="0"/>
    </xf>
    <xf numFmtId="2" fontId="27" fillId="0" borderId="19" xfId="2" applyNumberFormat="1" applyFont="1" applyFill="1" applyBorder="1" applyAlignment="1" applyProtection="1">
      <alignment horizontal="center" vertical="center" wrapText="1"/>
      <protection locked="0"/>
    </xf>
    <xf numFmtId="2" fontId="25" fillId="0" borderId="58" xfId="9" applyNumberFormat="1" applyFont="1" applyFill="1" applyBorder="1" applyAlignment="1" applyProtection="1">
      <alignment horizontal="center" vertical="center" shrinkToFit="1"/>
      <protection locked="0"/>
    </xf>
    <xf numFmtId="2" fontId="41" fillId="0" borderId="17" xfId="2" applyNumberFormat="1" applyFont="1" applyFill="1" applyBorder="1" applyAlignment="1" applyProtection="1">
      <alignment horizontal="center" vertical="center" shrinkToFit="1"/>
      <protection locked="0"/>
    </xf>
    <xf numFmtId="2" fontId="41" fillId="0" borderId="38" xfId="2" applyNumberFormat="1" applyFont="1" applyFill="1" applyBorder="1" applyAlignment="1" applyProtection="1">
      <alignment horizontal="center" vertical="center" shrinkToFit="1"/>
      <protection locked="0"/>
    </xf>
    <xf numFmtId="2" fontId="27" fillId="0" borderId="17" xfId="2" applyNumberFormat="1" applyFont="1" applyFill="1" applyBorder="1" applyAlignment="1" applyProtection="1">
      <alignment horizontal="center" vertical="center" wrapText="1"/>
      <protection locked="0"/>
    </xf>
    <xf numFmtId="2" fontId="27" fillId="0" borderId="58" xfId="2" applyNumberFormat="1" applyFont="1" applyFill="1" applyBorder="1" applyAlignment="1" applyProtection="1">
      <alignment horizontal="center" vertical="center" wrapText="1"/>
      <protection locked="0"/>
    </xf>
    <xf numFmtId="2" fontId="41" fillId="0" borderId="22" xfId="2" applyNumberFormat="1" applyFont="1" applyFill="1" applyBorder="1" applyAlignment="1" applyProtection="1">
      <alignment horizontal="center" vertical="center" wrapText="1" shrinkToFit="1"/>
      <protection locked="0"/>
    </xf>
    <xf numFmtId="0" fontId="27" fillId="3" borderId="28" xfId="18" applyFont="1" applyFill="1" applyBorder="1" applyAlignment="1" applyProtection="1">
      <alignment horizontal="center" vertical="center" wrapText="1" shrinkToFit="1"/>
      <protection locked="0"/>
    </xf>
    <xf numFmtId="2" fontId="41" fillId="0" borderId="18" xfId="2" applyNumberFormat="1" applyFont="1" applyFill="1" applyBorder="1" applyAlignment="1" applyProtection="1">
      <alignment horizontal="center" vertical="center" wrapText="1" shrinkToFit="1"/>
      <protection locked="0"/>
    </xf>
    <xf numFmtId="2" fontId="25" fillId="0" borderId="19" xfId="9" applyNumberFormat="1" applyFont="1" applyFill="1" applyBorder="1" applyAlignment="1" applyProtection="1">
      <alignment horizontal="center" vertical="center" wrapText="1" shrinkToFit="1"/>
      <protection locked="0"/>
    </xf>
    <xf numFmtId="0" fontId="27" fillId="12" borderId="21" xfId="18" applyFont="1" applyFill="1" applyBorder="1" applyAlignment="1" applyProtection="1">
      <alignment horizontal="center" vertical="center" wrapText="1" shrinkToFit="1"/>
      <protection hidden="1"/>
    </xf>
    <xf numFmtId="0" fontId="27" fillId="12" borderId="40" xfId="18" applyFont="1" applyFill="1" applyBorder="1" applyAlignment="1" applyProtection="1">
      <alignment horizontal="center" vertical="center" wrapText="1" shrinkToFit="1"/>
      <protection hidden="1"/>
    </xf>
    <xf numFmtId="0" fontId="12" fillId="13" borderId="19" xfId="18" applyFont="1" applyFill="1" applyBorder="1" applyAlignment="1" applyProtection="1">
      <alignment horizontal="center" vertical="center"/>
      <protection hidden="1"/>
    </xf>
    <xf numFmtId="0" fontId="12" fillId="13" borderId="18" xfId="18" applyFont="1" applyFill="1" applyBorder="1" applyAlignment="1" applyProtection="1">
      <alignment horizontal="center" vertical="center"/>
      <protection hidden="1"/>
    </xf>
    <xf numFmtId="0" fontId="12" fillId="13" borderId="22" xfId="18" applyFont="1" applyFill="1" applyBorder="1" applyAlignment="1" applyProtection="1">
      <alignment horizontal="center" vertical="center"/>
      <protection hidden="1"/>
    </xf>
    <xf numFmtId="0" fontId="27" fillId="13" borderId="11" xfId="18" applyFont="1" applyFill="1" applyBorder="1" applyAlignment="1" applyProtection="1">
      <alignment horizontal="center" vertical="center" wrapText="1" shrinkToFit="1"/>
      <protection hidden="1"/>
    </xf>
    <xf numFmtId="0" fontId="27" fillId="13" borderId="18" xfId="18" applyFont="1" applyFill="1" applyBorder="1" applyAlignment="1" applyProtection="1">
      <alignment horizontal="center" vertical="center" wrapText="1" shrinkToFit="1"/>
      <protection hidden="1"/>
    </xf>
    <xf numFmtId="0" fontId="27" fillId="13" borderId="27" xfId="18" applyFont="1" applyFill="1" applyBorder="1" applyAlignment="1" applyProtection="1">
      <alignment horizontal="center" vertical="center" wrapText="1" shrinkToFit="1"/>
      <protection hidden="1"/>
    </xf>
    <xf numFmtId="49" fontId="4" fillId="13" borderId="15" xfId="18" applyNumberFormat="1" applyFont="1" applyFill="1" applyBorder="1" applyAlignment="1" applyProtection="1">
      <alignment horizontal="center" vertical="center"/>
      <protection hidden="1"/>
    </xf>
    <xf numFmtId="49" fontId="4" fillId="13" borderId="23" xfId="18" applyNumberFormat="1" applyFont="1" applyFill="1" applyBorder="1" applyAlignment="1" applyProtection="1">
      <alignment horizontal="center" vertical="center"/>
      <protection hidden="1"/>
    </xf>
    <xf numFmtId="14" fontId="4" fillId="13" borderId="15" xfId="18" applyNumberFormat="1" applyFont="1" applyFill="1" applyBorder="1" applyAlignment="1" applyProtection="1">
      <alignment horizontal="center" vertical="center"/>
      <protection hidden="1"/>
    </xf>
    <xf numFmtId="0" fontId="4" fillId="13" borderId="23" xfId="18" applyFont="1" applyFill="1" applyBorder="1" applyAlignment="1" applyProtection="1">
      <alignment horizontal="center" vertical="center"/>
      <protection hidden="1"/>
    </xf>
    <xf numFmtId="49" fontId="7" fillId="13" borderId="23" xfId="18" applyNumberFormat="1" applyFont="1" applyFill="1" applyBorder="1" applyAlignment="1" applyProtection="1">
      <alignment vertical="center"/>
      <protection hidden="1"/>
    </xf>
    <xf numFmtId="14" fontId="4" fillId="13" borderId="23" xfId="18" applyNumberFormat="1" applyFont="1" applyFill="1" applyBorder="1" applyAlignment="1" applyProtection="1">
      <alignment horizontal="center" vertical="center"/>
      <protection hidden="1"/>
    </xf>
    <xf numFmtId="4" fontId="28" fillId="13" borderId="31" xfId="18" applyNumberFormat="1" applyFont="1" applyFill="1" applyBorder="1" applyAlignment="1" applyProtection="1">
      <alignment horizontal="center" vertical="center" wrapText="1" shrinkToFit="1"/>
      <protection hidden="1"/>
    </xf>
    <xf numFmtId="3" fontId="28" fillId="13" borderId="54" xfId="18" applyNumberFormat="1" applyFont="1" applyFill="1" applyBorder="1" applyAlignment="1" applyProtection="1">
      <alignment horizontal="center" vertical="center" wrapText="1" shrinkToFit="1"/>
      <protection hidden="1"/>
    </xf>
    <xf numFmtId="3" fontId="28" fillId="13" borderId="22" xfId="18" applyNumberFormat="1" applyFont="1" applyFill="1" applyBorder="1" applyAlignment="1" applyProtection="1">
      <alignment horizontal="center" vertical="center" wrapText="1" shrinkToFit="1"/>
      <protection hidden="1"/>
    </xf>
    <xf numFmtId="49" fontId="12" fillId="13" borderId="5" xfId="18" applyNumberFormat="1" applyFont="1" applyFill="1" applyBorder="1" applyAlignment="1" applyProtection="1">
      <alignment horizontal="left" vertical="center"/>
      <protection hidden="1"/>
    </xf>
    <xf numFmtId="49" fontId="12" fillId="13" borderId="11" xfId="18" applyNumberFormat="1" applyFont="1" applyFill="1" applyBorder="1" applyAlignment="1" applyProtection="1">
      <alignment horizontal="left" vertical="center"/>
      <protection hidden="1"/>
    </xf>
    <xf numFmtId="0" fontId="12" fillId="13" borderId="11" xfId="18" applyFont="1" applyFill="1" applyBorder="1" applyAlignment="1" applyProtection="1">
      <alignment horizontal="left" vertical="center"/>
      <protection hidden="1"/>
    </xf>
    <xf numFmtId="0" fontId="12" fillId="13" borderId="25" xfId="18" applyFont="1" applyFill="1" applyBorder="1" applyAlignment="1" applyProtection="1">
      <alignment horizontal="left" vertical="center"/>
      <protection hidden="1"/>
    </xf>
    <xf numFmtId="167" fontId="34" fillId="13" borderId="20" xfId="18" applyNumberFormat="1" applyFont="1" applyFill="1" applyBorder="1" applyAlignment="1" applyProtection="1">
      <alignment horizontal="center" vertical="center"/>
      <protection hidden="1"/>
    </xf>
    <xf numFmtId="2" fontId="34" fillId="13" borderId="21" xfId="18" applyNumberFormat="1" applyFont="1" applyFill="1" applyBorder="1" applyAlignment="1" applyProtection="1">
      <alignment horizontal="center" vertical="center"/>
      <protection hidden="1"/>
    </xf>
    <xf numFmtId="167" fontId="34" fillId="13" borderId="31" xfId="18" applyNumberFormat="1" applyFont="1" applyFill="1" applyBorder="1" applyAlignment="1" applyProtection="1">
      <alignment horizontal="center" vertical="center" shrinkToFit="1"/>
      <protection hidden="1"/>
    </xf>
    <xf numFmtId="167" fontId="12" fillId="13" borderId="37" xfId="18" applyNumberFormat="1" applyFont="1" applyFill="1" applyBorder="1" applyAlignment="1" applyProtection="1">
      <alignment horizontal="center" vertical="center" shrinkToFit="1"/>
      <protection hidden="1"/>
    </xf>
    <xf numFmtId="167" fontId="25" fillId="13" borderId="20" xfId="18" applyNumberFormat="1" applyFont="1" applyFill="1" applyBorder="1" applyAlignment="1" applyProtection="1">
      <alignment horizontal="center" vertical="center"/>
      <protection hidden="1"/>
    </xf>
    <xf numFmtId="1" fontId="25" fillId="13" borderId="21" xfId="18" applyNumberFormat="1" applyFont="1" applyFill="1" applyBorder="1" applyAlignment="1" applyProtection="1">
      <alignment horizontal="center" vertical="center"/>
      <protection hidden="1"/>
    </xf>
    <xf numFmtId="167" fontId="25" fillId="13" borderId="63" xfId="18" applyNumberFormat="1" applyFont="1" applyFill="1" applyBorder="1" applyAlignment="1" applyProtection="1">
      <alignment horizontal="center" vertical="center" shrinkToFit="1"/>
      <protection hidden="1"/>
    </xf>
    <xf numFmtId="167" fontId="12" fillId="13" borderId="25" xfId="18" applyNumberFormat="1" applyFont="1" applyFill="1" applyBorder="1" applyAlignment="1" applyProtection="1">
      <alignment horizontal="center" vertical="center"/>
      <protection hidden="1"/>
    </xf>
    <xf numFmtId="167" fontId="12" fillId="13" borderId="40" xfId="18" applyNumberFormat="1" applyFont="1" applyFill="1" applyBorder="1" applyAlignment="1" applyProtection="1">
      <alignment horizontal="center" vertical="center"/>
      <protection hidden="1"/>
    </xf>
    <xf numFmtId="1" fontId="25" fillId="13" borderId="62" xfId="18" applyNumberFormat="1" applyFont="1" applyFill="1" applyBorder="1" applyAlignment="1" applyProtection="1">
      <alignment horizontal="center" vertical="center" wrapText="1"/>
      <protection hidden="1"/>
    </xf>
    <xf numFmtId="1" fontId="25" fillId="13" borderId="63" xfId="18" applyNumberFormat="1" applyFont="1" applyFill="1" applyBorder="1" applyAlignment="1" applyProtection="1">
      <alignment horizontal="center" vertical="center" wrapText="1"/>
      <protection hidden="1"/>
    </xf>
    <xf numFmtId="1" fontId="22" fillId="13" borderId="51" xfId="2" applyNumberFormat="1" applyFont="1" applyFill="1" applyBorder="1" applyAlignment="1" applyProtection="1">
      <alignment horizontal="center" vertical="center" wrapText="1"/>
      <protection hidden="1"/>
    </xf>
    <xf numFmtId="0" fontId="4" fillId="13" borderId="12" xfId="18" applyFont="1" applyFill="1" applyBorder="1" applyAlignment="1" applyProtection="1">
      <alignment vertical="center"/>
      <protection hidden="1"/>
    </xf>
    <xf numFmtId="0" fontId="4" fillId="13" borderId="13" xfId="18" applyFont="1" applyFill="1" applyBorder="1" applyAlignment="1">
      <alignment vertical="center"/>
    </xf>
    <xf numFmtId="0" fontId="4" fillId="13" borderId="0" xfId="18" applyFont="1" applyFill="1" applyAlignment="1" applyProtection="1">
      <alignment horizontal="center" vertical="center"/>
      <protection hidden="1"/>
    </xf>
    <xf numFmtId="0" fontId="17" fillId="13" borderId="16" xfId="18" applyFill="1" applyBorder="1" applyAlignment="1" applyProtection="1">
      <alignment vertical="center"/>
      <protection hidden="1"/>
    </xf>
    <xf numFmtId="0" fontId="4" fillId="13" borderId="15" xfId="18" applyFont="1" applyFill="1" applyBorder="1" applyAlignment="1" applyProtection="1">
      <alignment vertical="center"/>
      <protection hidden="1"/>
    </xf>
    <xf numFmtId="0" fontId="8" fillId="13" borderId="0" xfId="18" applyFont="1" applyFill="1" applyAlignment="1" applyProtection="1">
      <alignment horizontal="center" vertical="center"/>
      <protection hidden="1"/>
    </xf>
    <xf numFmtId="0" fontId="8" fillId="13" borderId="15" xfId="18" applyFont="1" applyFill="1" applyBorder="1" applyAlignment="1" applyProtection="1">
      <alignment horizontal="right" vertical="center"/>
      <protection hidden="1"/>
    </xf>
    <xf numFmtId="49" fontId="12" fillId="13" borderId="14" xfId="18" applyNumberFormat="1" applyFont="1" applyFill="1" applyBorder="1" applyAlignment="1" applyProtection="1">
      <alignment vertical="justify"/>
      <protection hidden="1"/>
    </xf>
    <xf numFmtId="49" fontId="12" fillId="13" borderId="15" xfId="18" applyNumberFormat="1" applyFont="1" applyFill="1" applyBorder="1" applyAlignment="1" applyProtection="1">
      <alignment vertical="justify"/>
      <protection hidden="1"/>
    </xf>
    <xf numFmtId="49" fontId="12" fillId="13" borderId="16" xfId="18" applyNumberFormat="1" applyFont="1" applyFill="1" applyBorder="1" applyAlignment="1" applyProtection="1">
      <alignment vertical="justify"/>
      <protection hidden="1"/>
    </xf>
    <xf numFmtId="49" fontId="12" fillId="13" borderId="55" xfId="18" applyNumberFormat="1" applyFont="1" applyFill="1" applyBorder="1" applyAlignment="1" applyProtection="1">
      <alignment vertical="justify"/>
      <protection hidden="1"/>
    </xf>
    <xf numFmtId="49" fontId="12" fillId="13" borderId="56" xfId="18" applyNumberFormat="1" applyFont="1" applyFill="1" applyBorder="1" applyAlignment="1" applyProtection="1">
      <alignment vertical="justify"/>
      <protection hidden="1"/>
    </xf>
    <xf numFmtId="0" fontId="28" fillId="13" borderId="63" xfId="18" applyFont="1" applyFill="1" applyBorder="1" applyAlignment="1" applyProtection="1">
      <alignment horizontal="center" vertical="center" wrapText="1" shrinkToFit="1"/>
      <protection hidden="1"/>
    </xf>
    <xf numFmtId="0" fontId="13" fillId="0" borderId="62" xfId="15" applyFont="1" applyBorder="1" applyAlignment="1" applyProtection="1">
      <alignment horizontal="center" vertical="center" wrapText="1"/>
      <protection locked="0"/>
    </xf>
    <xf numFmtId="0" fontId="16" fillId="13" borderId="62" xfId="15" applyFont="1" applyFill="1" applyBorder="1" applyAlignment="1" applyProtection="1">
      <alignment horizontal="center" vertical="center" wrapText="1"/>
      <protection hidden="1"/>
    </xf>
    <xf numFmtId="49" fontId="31" fillId="13" borderId="0" xfId="18" applyNumberFormat="1" applyFont="1" applyFill="1" applyAlignment="1" applyProtection="1">
      <alignment vertical="center"/>
      <protection hidden="1"/>
    </xf>
    <xf numFmtId="49" fontId="31" fillId="13" borderId="16" xfId="18" applyNumberFormat="1" applyFont="1" applyFill="1" applyBorder="1" applyAlignment="1" applyProtection="1">
      <alignment vertical="center"/>
      <protection hidden="1"/>
    </xf>
    <xf numFmtId="0" fontId="4"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7" fillId="0" borderId="0" xfId="0" applyNumberFormat="1" applyFont="1" applyAlignment="1">
      <alignment horizontal="center"/>
    </xf>
    <xf numFmtId="49" fontId="4" fillId="0" borderId="0" xfId="0" applyNumberFormat="1" applyFont="1" applyAlignment="1">
      <alignment horizontal="center"/>
    </xf>
    <xf numFmtId="0" fontId="9"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7" fillId="0" borderId="1" xfId="0" applyFont="1" applyBorder="1"/>
    <xf numFmtId="0" fontId="10" fillId="0" borderId="1" xfId="0" applyFont="1" applyBorder="1"/>
    <xf numFmtId="0" fontId="7" fillId="0" borderId="6" xfId="0" applyFont="1" applyBorder="1" applyAlignment="1">
      <alignment horizontal="left"/>
    </xf>
    <xf numFmtId="0" fontId="4" fillId="0" borderId="2" xfId="0" applyFont="1" applyBorder="1" applyAlignment="1">
      <alignment horizontal="left"/>
    </xf>
    <xf numFmtId="0" fontId="7" fillId="0" borderId="0" xfId="0" applyFont="1" applyAlignment="1">
      <alignment horizontal="center"/>
    </xf>
    <xf numFmtId="0" fontId="4" fillId="0" borderId="2" xfId="0" applyFont="1" applyBorder="1"/>
    <xf numFmtId="0" fontId="0" fillId="0" borderId="2" xfId="0" applyBorder="1" applyAlignment="1">
      <alignment horizontal="center"/>
    </xf>
    <xf numFmtId="0" fontId="6" fillId="0" borderId="0" xfId="0" applyFont="1" applyAlignment="1">
      <alignment horizontal="left"/>
    </xf>
    <xf numFmtId="49" fontId="7" fillId="0" borderId="0" xfId="0" applyNumberFormat="1" applyFont="1" applyAlignment="1">
      <alignment horizontal="center" wrapText="1"/>
    </xf>
    <xf numFmtId="0" fontId="7" fillId="0" borderId="0" xfId="0" applyFont="1" applyAlignment="1">
      <alignment horizontal="center" vertical="center"/>
    </xf>
    <xf numFmtId="2" fontId="6" fillId="0" borderId="0" xfId="0" applyNumberFormat="1" applyFont="1" applyAlignment="1">
      <alignment horizontal="center"/>
    </xf>
    <xf numFmtId="0" fontId="6" fillId="0" borderId="0" xfId="0" applyFont="1" applyAlignment="1">
      <alignment horizontal="center"/>
    </xf>
    <xf numFmtId="0" fontId="9" fillId="0" borderId="0" xfId="0" applyFont="1" applyAlignment="1">
      <alignment horizontal="center"/>
    </xf>
    <xf numFmtId="2" fontId="7" fillId="0" borderId="0" xfId="0" applyNumberFormat="1" applyFont="1" applyAlignment="1">
      <alignment horizontal="center"/>
    </xf>
    <xf numFmtId="0" fontId="7" fillId="0" borderId="0" xfId="0" applyFont="1" applyAlignment="1" applyProtection="1">
      <alignment horizontal="center"/>
      <protection hidden="1"/>
    </xf>
    <xf numFmtId="0" fontId="5" fillId="0" borderId="0" xfId="0" applyFont="1" applyAlignment="1">
      <alignment horizontal="center"/>
    </xf>
    <xf numFmtId="2" fontId="5" fillId="0" borderId="0" xfId="0" applyNumberFormat="1" applyFont="1" applyAlignment="1">
      <alignment horizontal="center"/>
    </xf>
    <xf numFmtId="49" fontId="0" fillId="0" borderId="1" xfId="0" applyNumberFormat="1" applyBorder="1"/>
    <xf numFmtId="49" fontId="8"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1" fillId="0" borderId="2" xfId="0" applyFont="1" applyBorder="1" applyAlignment="1">
      <alignment horizontal="centerContinuous" vertical="center"/>
    </xf>
    <xf numFmtId="0" fontId="11" fillId="0" borderId="5" xfId="0" applyFont="1" applyBorder="1" applyAlignment="1">
      <alignment horizontal="centerContinuous" vertical="center"/>
    </xf>
    <xf numFmtId="0" fontId="9" fillId="0" borderId="1" xfId="0" applyFont="1" applyBorder="1" applyAlignment="1">
      <alignment horizontal="left"/>
    </xf>
    <xf numFmtId="0" fontId="11" fillId="0" borderId="9" xfId="0" applyFont="1" applyBorder="1" applyAlignment="1">
      <alignment horizontal="centerContinuous" vertical="center"/>
    </xf>
    <xf numFmtId="0" fontId="9" fillId="0" borderId="3" xfId="0" applyFont="1" applyBorder="1" applyAlignment="1">
      <alignment horizontal="center"/>
    </xf>
    <xf numFmtId="0" fontId="4" fillId="0" borderId="1" xfId="0" applyFont="1" applyBorder="1" applyAlignment="1">
      <alignment horizontal="left" vertical="center"/>
    </xf>
    <xf numFmtId="0" fontId="4" fillId="0" borderId="3" xfId="0" applyFont="1" applyBorder="1" applyAlignment="1">
      <alignment horizontal="left" vertical="center"/>
    </xf>
    <xf numFmtId="0" fontId="4" fillId="0" borderId="4" xfId="0" applyFont="1" applyBorder="1" applyAlignment="1">
      <alignment horizontal="left" vertical="center"/>
    </xf>
    <xf numFmtId="49" fontId="0" fillId="0" borderId="4" xfId="0" applyNumberFormat="1" applyBorder="1" applyAlignment="1">
      <alignment horizontal="left" vertical="center"/>
    </xf>
    <xf numFmtId="0" fontId="9" fillId="0" borderId="8" xfId="0" applyFont="1" applyBorder="1"/>
    <xf numFmtId="0" fontId="9" fillId="0" borderId="0" xfId="0" applyFont="1"/>
    <xf numFmtId="16" fontId="9" fillId="0" borderId="4" xfId="0" applyNumberFormat="1" applyFont="1" applyBorder="1" applyAlignment="1">
      <alignment horizontal="center"/>
    </xf>
    <xf numFmtId="0" fontId="10" fillId="0" borderId="0" xfId="0" applyFont="1" applyAlignment="1">
      <alignment horizontal="center"/>
    </xf>
    <xf numFmtId="0" fontId="0" fillId="0" borderId="8" xfId="0" applyBorder="1"/>
    <xf numFmtId="0" fontId="15" fillId="0" borderId="7" xfId="0" applyFont="1" applyBorder="1" applyAlignment="1">
      <alignment horizontal="center" vertical="center"/>
    </xf>
    <xf numFmtId="0" fontId="0" fillId="0" borderId="1" xfId="0" applyBorder="1" applyAlignment="1">
      <alignment vertical="center"/>
    </xf>
    <xf numFmtId="0" fontId="15" fillId="0" borderId="1" xfId="0" applyFont="1" applyBorder="1" applyAlignment="1">
      <alignment horizontal="center" vertical="center"/>
    </xf>
    <xf numFmtId="0" fontId="15" fillId="0" borderId="18" xfId="0" applyFont="1" applyBorder="1" applyAlignment="1">
      <alignment vertical="center"/>
    </xf>
    <xf numFmtId="0" fontId="0" fillId="0" borderId="26" xfId="0" applyBorder="1" applyAlignment="1">
      <alignment vertical="center"/>
    </xf>
    <xf numFmtId="0" fontId="4" fillId="0" borderId="4" xfId="0" applyFont="1" applyBorder="1" applyAlignment="1">
      <alignment horizontal="centerContinuous"/>
    </xf>
    <xf numFmtId="0" fontId="8" fillId="0" borderId="4" xfId="0" applyFont="1" applyBorder="1" applyAlignment="1">
      <alignment horizontal="right" vertical="top"/>
    </xf>
    <xf numFmtId="0" fontId="9" fillId="0" borderId="4" xfId="0" applyFont="1" applyBorder="1" applyAlignment="1">
      <alignment horizontal="center"/>
    </xf>
    <xf numFmtId="0" fontId="9" fillId="0" borderId="10" xfId="0" applyFont="1" applyBorder="1" applyAlignment="1">
      <alignment horizontal="center"/>
    </xf>
    <xf numFmtId="0" fontId="11" fillId="0" borderId="8" xfId="0" applyFont="1" applyBorder="1" applyAlignment="1">
      <alignment horizontal="center" vertical="center"/>
    </xf>
    <xf numFmtId="0" fontId="11" fillId="0" borderId="0" xfId="0" applyFont="1" applyAlignment="1">
      <alignment horizontal="center" vertical="center"/>
    </xf>
    <xf numFmtId="0" fontId="11" fillId="0" borderId="4" xfId="0" applyFont="1" applyBorder="1" applyAlignment="1">
      <alignment horizontal="center" vertical="center"/>
    </xf>
    <xf numFmtId="0" fontId="11" fillId="0" borderId="2" xfId="0" applyFont="1" applyBorder="1" applyAlignment="1">
      <alignment horizontal="center" vertical="center"/>
    </xf>
    <xf numFmtId="0" fontId="11" fillId="0" borderId="5" xfId="0" applyFont="1" applyBorder="1" applyAlignment="1">
      <alignment horizontal="center" vertical="center"/>
    </xf>
    <xf numFmtId="0" fontId="4" fillId="0" borderId="1" xfId="0" quotePrefix="1" applyFont="1" applyBorder="1" applyAlignment="1" applyProtection="1">
      <alignment horizontal="left" vertical="center"/>
      <protection locked="0"/>
    </xf>
    <xf numFmtId="0" fontId="4" fillId="0" borderId="26" xfId="0" applyFont="1" applyBorder="1" applyAlignment="1" applyProtection="1">
      <alignment vertical="center"/>
      <protection locked="0"/>
    </xf>
    <xf numFmtId="0" fontId="4"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5"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5"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5"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7" fillId="0" borderId="10" xfId="0" applyFont="1" applyBorder="1" applyAlignment="1" applyProtection="1">
      <alignment horizontal="center" vertical="center"/>
      <protection locked="0"/>
    </xf>
    <xf numFmtId="0" fontId="4" fillId="0" borderId="27" xfId="0" applyFont="1" applyBorder="1" applyAlignment="1" applyProtection="1">
      <alignment horizontal="center" vertical="center"/>
      <protection locked="0"/>
    </xf>
    <xf numFmtId="0" fontId="6" fillId="0" borderId="6" xfId="0" applyFont="1" applyBorder="1" applyAlignment="1" applyProtection="1">
      <alignment horizontal="center" vertical="center"/>
      <protection locked="0"/>
    </xf>
    <xf numFmtId="167" fontId="4" fillId="0" borderId="18" xfId="0" applyNumberFormat="1" applyFont="1" applyBorder="1" applyAlignment="1" applyProtection="1">
      <alignment horizontal="center" vertical="center"/>
      <protection locked="0"/>
    </xf>
    <xf numFmtId="167" fontId="4" fillId="0" borderId="6" xfId="0" applyNumberFormat="1"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1" fontId="4" fillId="0" borderId="10" xfId="0" applyNumberFormat="1" applyFont="1" applyBorder="1" applyAlignment="1" applyProtection="1">
      <alignment horizontal="center" vertical="center"/>
      <protection locked="0"/>
    </xf>
    <xf numFmtId="167" fontId="4" fillId="0" borderId="0" xfId="0" applyNumberFormat="1" applyFont="1" applyAlignment="1" applyProtection="1">
      <alignment horizontal="center" vertical="center"/>
      <protection locked="0"/>
    </xf>
    <xf numFmtId="167" fontId="4" fillId="0" borderId="10" xfId="0" applyNumberFormat="1"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4" fillId="0" borderId="18"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167" fontId="6" fillId="0" borderId="18" xfId="0" applyNumberFormat="1" applyFont="1" applyBorder="1" applyAlignment="1" applyProtection="1">
      <alignment horizontal="center" vertical="center"/>
      <protection locked="0"/>
    </xf>
    <xf numFmtId="167" fontId="6" fillId="0" borderId="6" xfId="0" applyNumberFormat="1" applyFont="1" applyBorder="1" applyAlignment="1" applyProtection="1">
      <alignment vertical="center"/>
      <protection locked="0"/>
    </xf>
    <xf numFmtId="0" fontId="7" fillId="0" borderId="8" xfId="0" applyFont="1" applyBorder="1" applyAlignment="1" applyProtection="1">
      <alignment horizontal="center" vertical="center"/>
      <protection locked="0"/>
    </xf>
    <xf numFmtId="167" fontId="6" fillId="0" borderId="10" xfId="0" applyNumberFormat="1" applyFont="1" applyBorder="1" applyAlignment="1" applyProtection="1">
      <alignment horizontal="center" vertical="center"/>
      <protection locked="0"/>
    </xf>
    <xf numFmtId="0" fontId="4" fillId="0" borderId="6" xfId="0" quotePrefix="1" applyFont="1" applyBorder="1" applyAlignment="1" applyProtection="1">
      <alignment horizontal="center" vertical="center"/>
      <protection locked="0"/>
    </xf>
    <xf numFmtId="0" fontId="4" fillId="0" borderId="0" xfId="0" quotePrefix="1" applyFont="1" applyAlignment="1" applyProtection="1">
      <alignment horizontal="center" vertical="center"/>
      <protection locked="0"/>
    </xf>
    <xf numFmtId="0" fontId="14" fillId="0" borderId="18" xfId="0" applyFont="1" applyBorder="1" applyAlignment="1" applyProtection="1">
      <alignment horizontal="center" vertical="center"/>
      <protection locked="0"/>
    </xf>
    <xf numFmtId="0" fontId="6" fillId="0" borderId="18" xfId="0" applyFont="1" applyBorder="1" applyAlignment="1" applyProtection="1">
      <alignment horizontal="center" vertical="center"/>
      <protection locked="0"/>
    </xf>
    <xf numFmtId="0" fontId="6" fillId="0" borderId="8" xfId="0" applyFon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26" xfId="0" applyFont="1" applyBorder="1" applyAlignment="1" applyProtection="1">
      <alignment horizontal="center" vertical="center"/>
      <protection locked="0"/>
    </xf>
    <xf numFmtId="0" fontId="7" fillId="0" borderId="18" xfId="0" applyFont="1" applyBorder="1"/>
    <xf numFmtId="0" fontId="4"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7" fillId="3" borderId="18" xfId="18" applyFill="1" applyBorder="1" applyAlignment="1" applyProtection="1">
      <alignment horizontal="center" vertical="center"/>
      <protection locked="0"/>
    </xf>
    <xf numFmtId="1" fontId="28" fillId="6" borderId="67" xfId="18" applyNumberFormat="1" applyFont="1" applyFill="1" applyBorder="1" applyAlignment="1" applyProtection="1">
      <alignment horizontal="center" vertical="center" shrinkToFit="1"/>
      <protection locked="0"/>
    </xf>
    <xf numFmtId="2" fontId="22" fillId="0" borderId="77" xfId="2" applyNumberFormat="1" applyFont="1" applyFill="1" applyBorder="1" applyAlignment="1" applyProtection="1">
      <alignment horizontal="center" vertical="center" shrinkToFit="1"/>
      <protection locked="0"/>
    </xf>
    <xf numFmtId="0" fontId="7" fillId="0" borderId="0" xfId="0" applyFont="1" applyAlignment="1" applyProtection="1">
      <alignment horizontal="center" vertical="center"/>
      <protection locked="0"/>
    </xf>
    <xf numFmtId="0" fontId="44" fillId="3" borderId="0" xfId="22" applyFont="1" applyFill="1" applyBorder="1" applyAlignment="1" applyProtection="1">
      <alignment vertical="center"/>
      <protection locked="0"/>
    </xf>
    <xf numFmtId="0" fontId="17" fillId="13" borderId="13" xfId="18" applyFill="1" applyBorder="1"/>
    <xf numFmtId="0" fontId="17" fillId="13" borderId="14" xfId="18" applyFill="1" applyBorder="1" applyAlignment="1" applyProtection="1">
      <alignment vertical="center"/>
      <protection hidden="1"/>
    </xf>
    <xf numFmtId="0" fontId="28" fillId="13" borderId="30" xfId="18" applyFont="1" applyFill="1" applyBorder="1" applyAlignment="1" applyProtection="1">
      <alignment horizontal="center" vertical="center" wrapText="1" shrinkToFit="1"/>
      <protection hidden="1"/>
    </xf>
    <xf numFmtId="2" fontId="27" fillId="0" borderId="31" xfId="2" applyNumberFormat="1" applyFont="1" applyFill="1" applyBorder="1" applyAlignment="1" applyProtection="1">
      <alignment horizontal="center" vertical="center" wrapText="1"/>
      <protection locked="0"/>
    </xf>
    <xf numFmtId="1" fontId="28" fillId="13" borderId="63" xfId="18" applyNumberFormat="1" applyFont="1" applyFill="1" applyBorder="1" applyAlignment="1" applyProtection="1">
      <alignment horizontal="center" vertical="center" wrapText="1" shrinkToFit="1"/>
      <protection hidden="1"/>
    </xf>
    <xf numFmtId="167" fontId="12" fillId="3" borderId="0" xfId="18" applyNumberFormat="1" applyFont="1" applyFill="1" applyAlignment="1" applyProtection="1">
      <alignment horizontal="center" vertical="center" wrapText="1" shrinkToFit="1"/>
      <protection locked="0"/>
    </xf>
    <xf numFmtId="167" fontId="12" fillId="3" borderId="18" xfId="18" applyNumberFormat="1" applyFont="1" applyFill="1" applyBorder="1" applyAlignment="1" applyProtection="1">
      <alignment horizontal="center" vertical="center" wrapText="1" shrinkToFit="1"/>
      <protection locked="0"/>
    </xf>
    <xf numFmtId="167" fontId="12" fillId="3" borderId="22" xfId="18" applyNumberFormat="1" applyFont="1" applyFill="1" applyBorder="1" applyAlignment="1" applyProtection="1">
      <alignment horizontal="center" vertical="center" wrapText="1" shrinkToFit="1"/>
      <protection locked="0"/>
    </xf>
    <xf numFmtId="167" fontId="12" fillId="3" borderId="20" xfId="18" applyNumberFormat="1" applyFont="1" applyFill="1" applyBorder="1" applyAlignment="1" applyProtection="1">
      <alignment horizontal="center" vertical="center" wrapText="1" shrinkToFit="1"/>
      <protection locked="0"/>
    </xf>
    <xf numFmtId="167" fontId="12" fillId="3" borderId="21" xfId="18" applyNumberFormat="1" applyFont="1" applyFill="1" applyBorder="1" applyAlignment="1" applyProtection="1">
      <alignment horizontal="center" vertical="center" wrapText="1" shrinkToFit="1"/>
      <protection locked="0"/>
    </xf>
    <xf numFmtId="167" fontId="12" fillId="3" borderId="31" xfId="18" applyNumberFormat="1" applyFont="1" applyFill="1" applyBorder="1" applyAlignment="1" applyProtection="1">
      <alignment horizontal="center" vertical="center" wrapText="1" shrinkToFit="1"/>
      <protection locked="0"/>
    </xf>
    <xf numFmtId="167" fontId="12" fillId="3" borderId="28" xfId="18" applyNumberFormat="1" applyFont="1" applyFill="1" applyBorder="1" applyAlignment="1" applyProtection="1">
      <alignment horizontal="center" vertical="center" wrapText="1" shrinkToFit="1"/>
      <protection locked="0"/>
    </xf>
    <xf numFmtId="167" fontId="12" fillId="3" borderId="30" xfId="18" applyNumberFormat="1" applyFont="1" applyFill="1" applyBorder="1" applyAlignment="1" applyProtection="1">
      <alignment horizontal="center" vertical="center" wrapText="1" shrinkToFit="1"/>
      <protection locked="0"/>
    </xf>
    <xf numFmtId="0" fontId="4" fillId="7" borderId="73" xfId="13" applyFill="1" applyBorder="1" applyAlignment="1">
      <alignment horizontal="center" vertical="center"/>
    </xf>
    <xf numFmtId="0" fontId="22" fillId="0" borderId="0" xfId="14" applyFont="1" applyAlignment="1">
      <alignment vertical="center" wrapText="1"/>
    </xf>
    <xf numFmtId="2" fontId="9"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4" fillId="14" borderId="18" xfId="0" applyFont="1" applyFill="1" applyBorder="1"/>
    <xf numFmtId="1" fontId="28" fillId="13" borderId="38" xfId="18" applyNumberFormat="1" applyFont="1" applyFill="1" applyBorder="1" applyAlignment="1" applyProtection="1">
      <alignment horizontal="center" vertical="center" shrinkToFit="1"/>
      <protection hidden="1"/>
    </xf>
    <xf numFmtId="0" fontId="4" fillId="13" borderId="0" xfId="18" applyFont="1" applyFill="1" applyAlignment="1" applyProtection="1">
      <alignment vertical="center"/>
      <protection hidden="1"/>
    </xf>
    <xf numFmtId="0" fontId="28" fillId="0" borderId="18" xfId="18" applyFont="1" applyBorder="1" applyAlignment="1" applyProtection="1">
      <alignment horizontal="center" vertical="center" shrinkToFit="1"/>
      <protection hidden="1"/>
    </xf>
    <xf numFmtId="0" fontId="27" fillId="3" borderId="22" xfId="16" applyFont="1" applyFill="1" applyBorder="1" applyAlignment="1" applyProtection="1">
      <alignment horizontal="center" vertical="center" wrapText="1" shrinkToFit="1"/>
      <protection locked="0"/>
    </xf>
    <xf numFmtId="0" fontId="11" fillId="13" borderId="61" xfId="18" applyFont="1" applyFill="1" applyBorder="1" applyAlignment="1" applyProtection="1">
      <alignment vertical="center"/>
      <protection hidden="1"/>
    </xf>
    <xf numFmtId="167" fontId="11" fillId="13" borderId="35" xfId="18" applyNumberFormat="1" applyFont="1" applyFill="1" applyBorder="1" applyAlignment="1" applyProtection="1">
      <alignment horizontal="center" vertical="center"/>
      <protection hidden="1"/>
    </xf>
    <xf numFmtId="1" fontId="22" fillId="0" borderId="57" xfId="2" applyNumberFormat="1" applyFont="1" applyFill="1" applyBorder="1" applyAlignment="1" applyProtection="1">
      <alignment horizontal="center" vertical="center" wrapText="1"/>
      <protection locked="0"/>
    </xf>
    <xf numFmtId="0" fontId="44" fillId="3" borderId="13" xfId="22" applyFont="1" applyFill="1" applyBorder="1" applyAlignment="1" applyProtection="1">
      <alignment vertical="center"/>
      <protection locked="0"/>
    </xf>
    <xf numFmtId="0" fontId="28" fillId="3" borderId="13" xfId="22" applyFont="1" applyFill="1" applyBorder="1" applyAlignment="1" applyProtection="1">
      <alignment vertical="center"/>
      <protection locked="0"/>
    </xf>
    <xf numFmtId="49" fontId="4" fillId="0" borderId="1" xfId="0" applyNumberFormat="1" applyFont="1" applyBorder="1" applyAlignment="1" applyProtection="1">
      <alignment horizontal="center" vertical="center"/>
      <protection locked="0"/>
    </xf>
    <xf numFmtId="49" fontId="4"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4" fillId="0" borderId="0" xfId="0" quotePrefix="1" applyNumberFormat="1" applyFont="1" applyAlignment="1" applyProtection="1">
      <alignment horizontal="center" vertical="center"/>
      <protection locked="0"/>
    </xf>
    <xf numFmtId="49" fontId="14" fillId="0" borderId="6" xfId="0" applyNumberFormat="1" applyFont="1" applyBorder="1" applyAlignment="1" applyProtection="1">
      <alignment horizontal="center" vertical="center"/>
      <protection locked="0"/>
    </xf>
    <xf numFmtId="49" fontId="14" fillId="0" borderId="0" xfId="0" applyNumberFormat="1" applyFont="1" applyAlignment="1" applyProtection="1">
      <alignment horizontal="center" vertical="center"/>
      <protection locked="0"/>
    </xf>
    <xf numFmtId="49" fontId="6" fillId="0" borderId="6" xfId="0" applyNumberFormat="1" applyFont="1" applyBorder="1" applyAlignment="1" applyProtection="1">
      <alignment horizontal="center" vertical="center"/>
      <protection locked="0"/>
    </xf>
    <xf numFmtId="49" fontId="6" fillId="0" borderId="0" xfId="0" applyNumberFormat="1" applyFont="1" applyAlignment="1" applyProtection="1">
      <alignment horizontal="center" vertical="center"/>
      <protection locked="0"/>
    </xf>
    <xf numFmtId="49" fontId="6" fillId="0" borderId="1" xfId="0"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center" vertical="center"/>
      <protection locked="0"/>
    </xf>
    <xf numFmtId="0" fontId="4" fillId="0" borderId="7" xfId="0" applyFont="1" applyBorder="1" applyAlignment="1" applyProtection="1">
      <alignment horizontal="left" vertical="center"/>
      <protection locked="0"/>
    </xf>
    <xf numFmtId="0" fontId="4" fillId="0" borderId="1"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2" fontId="27" fillId="0" borderId="38" xfId="2" quotePrefix="1" applyNumberFormat="1" applyFont="1" applyFill="1" applyBorder="1" applyAlignment="1" applyProtection="1">
      <alignment horizontal="center" vertical="center" wrapText="1"/>
      <protection locked="0"/>
    </xf>
    <xf numFmtId="2" fontId="27" fillId="0" borderId="22" xfId="2" quotePrefix="1" applyNumberFormat="1" applyFont="1" applyFill="1" applyBorder="1" applyAlignment="1" applyProtection="1">
      <alignment horizontal="center" vertical="center" wrapText="1"/>
      <protection locked="0"/>
    </xf>
    <xf numFmtId="1" fontId="28" fillId="13" borderId="56" xfId="18" applyNumberFormat="1" applyFont="1" applyFill="1" applyBorder="1" applyAlignment="1" applyProtection="1">
      <alignment horizontal="center" vertical="center" shrinkToFit="1"/>
      <protection hidden="1"/>
    </xf>
    <xf numFmtId="2" fontId="27" fillId="6" borderId="19" xfId="2" quotePrefix="1" applyNumberFormat="1" applyFont="1" applyFill="1" applyBorder="1" applyAlignment="1" applyProtection="1">
      <alignment horizontal="center" vertical="center" wrapText="1"/>
      <protection locked="0"/>
    </xf>
    <xf numFmtId="2" fontId="27" fillId="6" borderId="19" xfId="2" applyNumberFormat="1" applyFont="1" applyFill="1" applyBorder="1" applyAlignment="1" applyProtection="1">
      <alignment horizontal="center" vertical="center" wrapText="1"/>
      <protection locked="0"/>
    </xf>
    <xf numFmtId="2" fontId="22" fillId="6" borderId="58" xfId="2" applyNumberFormat="1" applyFont="1" applyFill="1" applyBorder="1" applyAlignment="1" applyProtection="1">
      <alignment horizontal="center" vertical="center" shrinkToFit="1"/>
      <protection locked="0"/>
    </xf>
    <xf numFmtId="2" fontId="22" fillId="6" borderId="37" xfId="2" applyNumberFormat="1" applyFont="1" applyFill="1" applyBorder="1" applyAlignment="1" applyProtection="1">
      <alignment horizontal="center" vertical="center" shrinkToFit="1"/>
      <protection locked="0"/>
    </xf>
    <xf numFmtId="0" fontId="22" fillId="6" borderId="19" xfId="0" applyFont="1" applyFill="1" applyBorder="1" applyAlignment="1" applyProtection="1">
      <alignment horizontal="center" vertical="center" wrapText="1"/>
      <protection locked="0"/>
    </xf>
    <xf numFmtId="0" fontId="22" fillId="6" borderId="11" xfId="0" applyFont="1" applyFill="1" applyBorder="1" applyAlignment="1" applyProtection="1">
      <alignment horizontal="center" vertical="center" wrapText="1"/>
      <protection locked="0"/>
    </xf>
    <xf numFmtId="1" fontId="22" fillId="6" borderId="28" xfId="18" applyNumberFormat="1" applyFont="1" applyFill="1" applyBorder="1" applyAlignment="1" applyProtection="1">
      <alignment horizontal="center" vertical="center" wrapText="1" shrinkToFit="1"/>
      <protection locked="0"/>
    </xf>
    <xf numFmtId="0" fontId="27" fillId="6" borderId="28" xfId="18" applyFont="1" applyFill="1" applyBorder="1" applyAlignment="1" applyProtection="1">
      <alignment horizontal="center" vertical="center" wrapText="1" shrinkToFit="1"/>
      <protection locked="0"/>
    </xf>
    <xf numFmtId="0" fontId="22" fillId="6" borderId="28" xfId="18" applyFont="1" applyFill="1" applyBorder="1" applyAlignment="1" applyProtection="1">
      <alignment horizontal="center" vertical="center" shrinkToFit="1"/>
      <protection locked="0"/>
    </xf>
    <xf numFmtId="0" fontId="22" fillId="6" borderId="30" xfId="16" applyFont="1" applyFill="1" applyBorder="1" applyAlignment="1" applyProtection="1">
      <alignment horizontal="center" vertical="center" wrapText="1"/>
      <protection locked="0"/>
    </xf>
    <xf numFmtId="1" fontId="22" fillId="6" borderId="2" xfId="17" applyNumberFormat="1" applyFont="1" applyFill="1" applyBorder="1" applyAlignment="1" applyProtection="1">
      <alignment horizontal="center" vertical="center" shrinkToFit="1"/>
      <protection locked="0"/>
    </xf>
    <xf numFmtId="2" fontId="25" fillId="6" borderId="19" xfId="9" applyNumberFormat="1" applyFont="1" applyFill="1" applyBorder="1" applyAlignment="1" applyProtection="1">
      <alignment horizontal="center" vertical="center" wrapText="1" shrinkToFit="1"/>
      <protection locked="0"/>
    </xf>
    <xf numFmtId="2" fontId="41" fillId="6" borderId="18" xfId="2" applyNumberFormat="1" applyFont="1" applyFill="1" applyBorder="1" applyAlignment="1" applyProtection="1">
      <alignment horizontal="center" vertical="center" wrapText="1" shrinkToFit="1"/>
      <protection locked="0"/>
    </xf>
    <xf numFmtId="2" fontId="41" fillId="6" borderId="22" xfId="2" applyNumberFormat="1" applyFont="1" applyFill="1" applyBorder="1" applyAlignment="1" applyProtection="1">
      <alignment horizontal="center" vertical="center" wrapText="1" shrinkToFit="1"/>
      <protection locked="0"/>
    </xf>
    <xf numFmtId="2" fontId="27" fillId="6" borderId="18" xfId="2" applyNumberFormat="1" applyFont="1" applyFill="1" applyBorder="1" applyAlignment="1" applyProtection="1">
      <alignment horizontal="center" vertical="center" wrapText="1"/>
      <protection locked="0"/>
    </xf>
    <xf numFmtId="2" fontId="27" fillId="6" borderId="22" xfId="2" quotePrefix="1" applyNumberFormat="1" applyFont="1" applyFill="1" applyBorder="1" applyAlignment="1" applyProtection="1">
      <alignment horizontal="center" vertical="center" wrapText="1"/>
      <protection locked="0"/>
    </xf>
    <xf numFmtId="0" fontId="27" fillId="6" borderId="30" xfId="16" applyFont="1" applyFill="1" applyBorder="1" applyAlignment="1" applyProtection="1">
      <alignment horizontal="center" vertical="center" wrapText="1" shrinkToFit="1"/>
      <protection locked="0"/>
    </xf>
    <xf numFmtId="1" fontId="22" fillId="6" borderId="30" xfId="2" applyNumberFormat="1" applyFont="1" applyFill="1" applyBorder="1" applyAlignment="1" applyProtection="1">
      <alignment horizontal="center" vertical="center" wrapText="1"/>
      <protection hidden="1"/>
    </xf>
    <xf numFmtId="1" fontId="22" fillId="6" borderId="41" xfId="2" applyNumberFormat="1" applyFont="1" applyFill="1" applyBorder="1" applyAlignment="1" applyProtection="1">
      <alignment horizontal="center" vertical="center" wrapText="1"/>
      <protection hidden="1"/>
    </xf>
    <xf numFmtId="1" fontId="22" fillId="6" borderId="59" xfId="2" applyNumberFormat="1" applyFont="1" applyFill="1" applyBorder="1" applyAlignment="1" applyProtection="1">
      <alignment horizontal="center" vertical="center" wrapText="1"/>
      <protection locked="0"/>
    </xf>
    <xf numFmtId="167" fontId="34" fillId="6" borderId="19" xfId="18" applyNumberFormat="1" applyFont="1" applyFill="1" applyBorder="1" applyAlignment="1" applyProtection="1">
      <alignment horizontal="center" vertical="center"/>
      <protection hidden="1"/>
    </xf>
    <xf numFmtId="2" fontId="34" fillId="6" borderId="18" xfId="18" applyNumberFormat="1" applyFont="1" applyFill="1" applyBorder="1" applyAlignment="1" applyProtection="1">
      <alignment horizontal="center" vertical="center"/>
      <protection hidden="1"/>
    </xf>
    <xf numFmtId="167" fontId="34" fillId="6" borderId="22" xfId="18" applyNumberFormat="1" applyFont="1" applyFill="1" applyBorder="1" applyAlignment="1" applyProtection="1">
      <alignment horizontal="center" vertical="center" shrinkToFit="1"/>
      <protection hidden="1"/>
    </xf>
    <xf numFmtId="167" fontId="25" fillId="6" borderId="5" xfId="18" applyNumberFormat="1" applyFont="1" applyFill="1" applyBorder="1" applyAlignment="1" applyProtection="1">
      <alignment horizontal="center" vertical="center"/>
      <protection hidden="1"/>
    </xf>
    <xf numFmtId="1" fontId="25" fillId="6" borderId="28" xfId="18" applyNumberFormat="1" applyFont="1" applyFill="1" applyBorder="1" applyAlignment="1" applyProtection="1">
      <alignment horizontal="center" vertical="center"/>
      <protection hidden="1"/>
    </xf>
    <xf numFmtId="167" fontId="25" fillId="6" borderId="30" xfId="18" applyNumberFormat="1" applyFont="1" applyFill="1" applyBorder="1" applyAlignment="1" applyProtection="1">
      <alignment horizontal="center" vertical="center" shrinkToFit="1"/>
      <protection hidden="1"/>
    </xf>
    <xf numFmtId="167" fontId="12" fillId="6" borderId="11" xfId="18" applyNumberFormat="1" applyFont="1" applyFill="1" applyBorder="1" applyAlignment="1" applyProtection="1">
      <alignment horizontal="center" vertical="center"/>
      <protection hidden="1"/>
    </xf>
    <xf numFmtId="167" fontId="12" fillId="6" borderId="27" xfId="18" applyNumberFormat="1" applyFont="1" applyFill="1" applyBorder="1" applyAlignment="1" applyProtection="1">
      <alignment horizontal="center" vertical="center"/>
      <protection hidden="1"/>
    </xf>
    <xf numFmtId="167" fontId="12" fillId="6" borderId="37" xfId="18" applyNumberFormat="1" applyFont="1" applyFill="1" applyBorder="1" applyAlignment="1" applyProtection="1">
      <alignment horizontal="center" vertical="center" shrinkToFit="1"/>
      <protection hidden="1"/>
    </xf>
    <xf numFmtId="1" fontId="25" fillId="6" borderId="28" xfId="18" applyNumberFormat="1" applyFont="1" applyFill="1" applyBorder="1" applyAlignment="1" applyProtection="1">
      <alignment horizontal="center" vertical="center" wrapText="1"/>
      <protection hidden="1"/>
    </xf>
    <xf numFmtId="1" fontId="25" fillId="6" borderId="30" xfId="18" applyNumberFormat="1" applyFont="1" applyFill="1" applyBorder="1" applyAlignment="1" applyProtection="1">
      <alignment horizontal="center" vertical="center" wrapText="1"/>
      <protection hidden="1"/>
    </xf>
    <xf numFmtId="167" fontId="12" fillId="6" borderId="47" xfId="18" applyNumberFormat="1" applyFont="1" applyFill="1" applyBorder="1" applyAlignment="1" applyProtection="1">
      <alignment horizontal="center" vertical="center" wrapText="1" shrinkToFit="1"/>
      <protection locked="0"/>
    </xf>
    <xf numFmtId="167" fontId="12" fillId="6" borderId="29" xfId="18" applyNumberFormat="1" applyFont="1" applyFill="1" applyBorder="1" applyAlignment="1" applyProtection="1">
      <alignment horizontal="center" vertical="center" wrapText="1" shrinkToFit="1"/>
      <protection locked="0"/>
    </xf>
    <xf numFmtId="167" fontId="12" fillId="6" borderId="19" xfId="18" applyNumberFormat="1" applyFont="1" applyFill="1" applyBorder="1" applyAlignment="1" applyProtection="1">
      <alignment horizontal="center" vertical="center" wrapText="1" shrinkToFit="1"/>
      <protection locked="0"/>
    </xf>
    <xf numFmtId="167" fontId="12" fillId="6" borderId="18" xfId="18" applyNumberFormat="1" applyFont="1" applyFill="1" applyBorder="1" applyAlignment="1" applyProtection="1">
      <alignment horizontal="center" vertical="center" wrapText="1" shrinkToFit="1"/>
      <protection locked="0"/>
    </xf>
    <xf numFmtId="1" fontId="22" fillId="6" borderId="29" xfId="2" applyNumberFormat="1" applyFont="1" applyFill="1" applyBorder="1" applyAlignment="1" applyProtection="1">
      <alignment horizontal="center" vertical="center" wrapText="1"/>
      <protection hidden="1"/>
    </xf>
    <xf numFmtId="0" fontId="22" fillId="6" borderId="58" xfId="0" applyFont="1" applyFill="1" applyBorder="1" applyAlignment="1" applyProtection="1">
      <alignment horizontal="center" vertical="center" wrapText="1"/>
      <protection locked="0"/>
    </xf>
    <xf numFmtId="0" fontId="22" fillId="6" borderId="33" xfId="0" applyFont="1" applyFill="1" applyBorder="1" applyAlignment="1" applyProtection="1">
      <alignment horizontal="center" vertical="center" wrapText="1"/>
      <protection locked="0"/>
    </xf>
    <xf numFmtId="1" fontId="22" fillId="6" borderId="17" xfId="18" applyNumberFormat="1" applyFont="1" applyFill="1" applyBorder="1" applyAlignment="1" applyProtection="1">
      <alignment horizontal="center" vertical="center" wrapText="1" shrinkToFit="1"/>
      <protection locked="0"/>
    </xf>
    <xf numFmtId="0" fontId="27" fillId="6" borderId="17" xfId="18" applyFont="1" applyFill="1" applyBorder="1" applyAlignment="1" applyProtection="1">
      <alignment horizontal="center" vertical="center" wrapText="1" shrinkToFit="1"/>
      <protection locked="0"/>
    </xf>
    <xf numFmtId="0" fontId="22" fillId="6" borderId="17" xfId="18" applyFont="1" applyFill="1" applyBorder="1" applyAlignment="1" applyProtection="1">
      <alignment horizontal="center" vertical="center" shrinkToFit="1"/>
      <protection locked="0"/>
    </xf>
    <xf numFmtId="0" fontId="22" fillId="6" borderId="38" xfId="16" applyFont="1" applyFill="1" applyBorder="1" applyAlignment="1" applyProtection="1">
      <alignment horizontal="center" vertical="center" wrapText="1"/>
      <protection locked="0"/>
    </xf>
    <xf numFmtId="1" fontId="22" fillId="6" borderId="49" xfId="17" applyNumberFormat="1" applyFont="1" applyFill="1" applyBorder="1" applyAlignment="1" applyProtection="1">
      <alignment horizontal="center" vertical="center" shrinkToFit="1"/>
      <protection locked="0"/>
    </xf>
    <xf numFmtId="2" fontId="25" fillId="6" borderId="58" xfId="9" applyNumberFormat="1" applyFont="1" applyFill="1" applyBorder="1" applyAlignment="1" applyProtection="1">
      <alignment horizontal="center" vertical="center" shrinkToFit="1"/>
      <protection locked="0"/>
    </xf>
    <xf numFmtId="2" fontId="41" fillId="6" borderId="17" xfId="2" applyNumberFormat="1" applyFont="1" applyFill="1" applyBorder="1" applyAlignment="1" applyProtection="1">
      <alignment horizontal="center" vertical="center" shrinkToFit="1"/>
      <protection locked="0"/>
    </xf>
    <xf numFmtId="2" fontId="41" fillId="6" borderId="38" xfId="2" applyNumberFormat="1" applyFont="1" applyFill="1" applyBorder="1" applyAlignment="1" applyProtection="1">
      <alignment horizontal="center" vertical="center" shrinkToFit="1"/>
      <protection locked="0"/>
    </xf>
    <xf numFmtId="2" fontId="27" fillId="6" borderId="58" xfId="2" applyNumberFormat="1" applyFont="1" applyFill="1" applyBorder="1" applyAlignment="1" applyProtection="1">
      <alignment horizontal="center" vertical="center" wrapText="1"/>
      <protection locked="0"/>
    </xf>
    <xf numFmtId="2" fontId="27" fillId="6" borderId="17" xfId="2" applyNumberFormat="1" applyFont="1" applyFill="1" applyBorder="1" applyAlignment="1" applyProtection="1">
      <alignment horizontal="center" vertical="center" wrapText="1"/>
      <protection locked="0"/>
    </xf>
    <xf numFmtId="2" fontId="27" fillId="6" borderId="38" xfId="2" quotePrefix="1" applyNumberFormat="1" applyFont="1" applyFill="1" applyBorder="1" applyAlignment="1" applyProtection="1">
      <alignment horizontal="center" vertical="center" wrapText="1"/>
      <protection locked="0"/>
    </xf>
    <xf numFmtId="0" fontId="27" fillId="6" borderId="38" xfId="16" applyFont="1" applyFill="1" applyBorder="1" applyAlignment="1" applyProtection="1">
      <alignment horizontal="center" vertical="center" wrapText="1" shrinkToFit="1"/>
      <protection locked="0"/>
    </xf>
    <xf numFmtId="1" fontId="22" fillId="6" borderId="61" xfId="2" applyNumberFormat="1" applyFont="1" applyFill="1" applyBorder="1" applyAlignment="1" applyProtection="1">
      <alignment horizontal="center" vertical="center" wrapText="1"/>
      <protection hidden="1"/>
    </xf>
    <xf numFmtId="1" fontId="22" fillId="6" borderId="50" xfId="2" applyNumberFormat="1" applyFont="1" applyFill="1" applyBorder="1" applyAlignment="1" applyProtection="1">
      <alignment horizontal="center" vertical="center" wrapText="1"/>
      <protection hidden="1"/>
    </xf>
    <xf numFmtId="1" fontId="22" fillId="6" borderId="61" xfId="2" applyNumberFormat="1" applyFont="1" applyFill="1" applyBorder="1" applyAlignment="1" applyProtection="1">
      <alignment horizontal="center" vertical="center" wrapText="1"/>
      <protection locked="0"/>
    </xf>
    <xf numFmtId="167" fontId="34" fillId="6" borderId="58" xfId="18" applyNumberFormat="1" applyFont="1" applyFill="1" applyBorder="1" applyAlignment="1" applyProtection="1">
      <alignment horizontal="center" vertical="center"/>
      <protection hidden="1"/>
    </xf>
    <xf numFmtId="2" fontId="34" fillId="6" borderId="17" xfId="18" applyNumberFormat="1" applyFont="1" applyFill="1" applyBorder="1" applyAlignment="1" applyProtection="1">
      <alignment horizontal="center" vertical="center"/>
      <protection hidden="1"/>
    </xf>
    <xf numFmtId="167" fontId="34" fillId="6" borderId="38" xfId="18" applyNumberFormat="1" applyFont="1" applyFill="1" applyBorder="1" applyAlignment="1" applyProtection="1">
      <alignment horizontal="center" vertical="center" shrinkToFit="1"/>
      <protection hidden="1"/>
    </xf>
    <xf numFmtId="167" fontId="25" fillId="6" borderId="33" xfId="18" applyNumberFormat="1" applyFont="1" applyFill="1" applyBorder="1" applyAlignment="1" applyProtection="1">
      <alignment horizontal="center" vertical="center"/>
      <protection hidden="1"/>
    </xf>
    <xf numFmtId="167" fontId="25" fillId="6" borderId="38" xfId="18" applyNumberFormat="1" applyFont="1" applyFill="1" applyBorder="1" applyAlignment="1" applyProtection="1">
      <alignment horizontal="center" vertical="center" shrinkToFit="1"/>
      <protection hidden="1"/>
    </xf>
    <xf numFmtId="167" fontId="12" fillId="6" borderId="33" xfId="18" applyNumberFormat="1" applyFont="1" applyFill="1" applyBorder="1" applyAlignment="1" applyProtection="1">
      <alignment horizontal="center" vertical="center"/>
      <protection hidden="1"/>
    </xf>
    <xf numFmtId="167" fontId="12" fillId="6" borderId="45" xfId="18" applyNumberFormat="1" applyFont="1" applyFill="1" applyBorder="1" applyAlignment="1" applyProtection="1">
      <alignment horizontal="center" vertical="center"/>
      <protection hidden="1"/>
    </xf>
    <xf numFmtId="1" fontId="25" fillId="6" borderId="17" xfId="18" applyNumberFormat="1" applyFont="1" applyFill="1" applyBorder="1" applyAlignment="1" applyProtection="1">
      <alignment horizontal="center" vertical="center" wrapText="1"/>
      <protection hidden="1"/>
    </xf>
    <xf numFmtId="1" fontId="25" fillId="6" borderId="38" xfId="18" applyNumberFormat="1" applyFont="1" applyFill="1" applyBorder="1" applyAlignment="1" applyProtection="1">
      <alignment horizontal="center" vertical="center" wrapText="1"/>
      <protection hidden="1"/>
    </xf>
    <xf numFmtId="167" fontId="12" fillId="6" borderId="48" xfId="18" applyNumberFormat="1" applyFont="1" applyFill="1" applyBorder="1" applyAlignment="1" applyProtection="1">
      <alignment horizontal="center" vertical="center" wrapText="1" shrinkToFit="1"/>
      <protection locked="0"/>
    </xf>
    <xf numFmtId="167" fontId="12" fillId="6" borderId="50" xfId="18" applyNumberFormat="1" applyFont="1" applyFill="1" applyBorder="1" applyAlignment="1" applyProtection="1">
      <alignment horizontal="center" vertical="center" wrapText="1" shrinkToFit="1"/>
      <protection locked="0"/>
    </xf>
    <xf numFmtId="167" fontId="12" fillId="6" borderId="37" xfId="18" applyNumberFormat="1" applyFont="1" applyFill="1" applyBorder="1" applyAlignment="1" applyProtection="1">
      <alignment horizontal="center" vertical="center" wrapText="1" shrinkToFit="1"/>
      <protection locked="0"/>
    </xf>
    <xf numFmtId="167" fontId="12" fillId="6" borderId="28" xfId="18" applyNumberFormat="1" applyFont="1" applyFill="1" applyBorder="1" applyAlignment="1" applyProtection="1">
      <alignment horizontal="center" vertical="center" wrapText="1" shrinkToFit="1"/>
      <protection locked="0"/>
    </xf>
    <xf numFmtId="0" fontId="22" fillId="6" borderId="5" xfId="0" applyFont="1" applyFill="1" applyBorder="1" applyAlignment="1" applyProtection="1">
      <alignment horizontal="center" vertical="center" wrapText="1"/>
      <protection locked="0"/>
    </xf>
    <xf numFmtId="2" fontId="25" fillId="6" borderId="37" xfId="9" applyNumberFormat="1" applyFont="1" applyFill="1" applyBorder="1" applyAlignment="1" applyProtection="1">
      <alignment horizontal="center" vertical="center" shrinkToFit="1"/>
      <protection locked="0"/>
    </xf>
    <xf numFmtId="2" fontId="41" fillId="6" borderId="28" xfId="2" applyNumberFormat="1" applyFont="1" applyFill="1" applyBorder="1" applyAlignment="1" applyProtection="1">
      <alignment horizontal="center" vertical="center" shrinkToFit="1"/>
      <protection locked="0"/>
    </xf>
    <xf numFmtId="2" fontId="41" fillId="6" borderId="30" xfId="2" applyNumberFormat="1" applyFont="1" applyFill="1" applyBorder="1" applyAlignment="1" applyProtection="1">
      <alignment horizontal="center" vertical="center" shrinkToFit="1"/>
      <protection locked="0"/>
    </xf>
    <xf numFmtId="2" fontId="27" fillId="6" borderId="37" xfId="2" applyNumberFormat="1" applyFont="1" applyFill="1" applyBorder="1" applyAlignment="1" applyProtection="1">
      <alignment horizontal="center" vertical="center" wrapText="1"/>
      <protection locked="0"/>
    </xf>
    <xf numFmtId="2" fontId="27" fillId="6" borderId="28" xfId="2" applyNumberFormat="1" applyFont="1" applyFill="1" applyBorder="1" applyAlignment="1" applyProtection="1">
      <alignment horizontal="center" vertical="center" wrapText="1"/>
      <protection locked="0"/>
    </xf>
    <xf numFmtId="2" fontId="27" fillId="6" borderId="30" xfId="2"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7" fillId="0" borderId="27" xfId="0" applyNumberFormat="1" applyFont="1" applyBorder="1" applyAlignment="1" applyProtection="1">
      <alignment horizontal="center" vertical="center" wrapText="1"/>
      <protection locked="0"/>
    </xf>
    <xf numFmtId="49" fontId="7" fillId="0" borderId="6" xfId="0" applyNumberFormat="1" applyFont="1" applyBorder="1" applyAlignment="1" applyProtection="1">
      <alignment horizontal="center" vertical="center" wrapText="1"/>
      <protection locked="0"/>
    </xf>
    <xf numFmtId="49" fontId="7" fillId="0" borderId="11" xfId="0" applyNumberFormat="1" applyFont="1" applyBorder="1" applyAlignment="1" applyProtection="1">
      <alignment horizontal="center" vertical="center" wrapText="1"/>
      <protection locked="0"/>
    </xf>
    <xf numFmtId="0" fontId="14" fillId="0" borderId="27" xfId="0" applyFont="1" applyBorder="1" applyAlignment="1" applyProtection="1">
      <alignment horizontal="center" vertical="center"/>
      <protection locked="0"/>
    </xf>
    <xf numFmtId="0" fontId="14" fillId="0" borderId="6" xfId="0" applyFont="1" applyBorder="1" applyAlignment="1" applyProtection="1">
      <alignment horizontal="center" vertical="center"/>
      <protection locked="0"/>
    </xf>
    <xf numFmtId="0" fontId="14" fillId="0" borderId="11" xfId="0" applyFont="1" applyBorder="1" applyAlignment="1" applyProtection="1">
      <alignment horizontal="center" vertical="center"/>
      <protection locked="0"/>
    </xf>
    <xf numFmtId="0" fontId="6" fillId="0" borderId="8"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7" fillId="0" borderId="18" xfId="0" applyFont="1" applyBorder="1" applyAlignment="1">
      <alignment horizontal="left"/>
    </xf>
    <xf numFmtId="49" fontId="7" fillId="0" borderId="8" xfId="0" applyNumberFormat="1" applyFont="1" applyBorder="1" applyAlignment="1" applyProtection="1">
      <alignment horizontal="center" vertical="center" wrapText="1"/>
      <protection locked="0"/>
    </xf>
    <xf numFmtId="49" fontId="7" fillId="0" borderId="0" xfId="0" applyNumberFormat="1" applyFont="1" applyAlignment="1" applyProtection="1">
      <alignment horizontal="center" vertical="center" wrapText="1"/>
      <protection locked="0"/>
    </xf>
    <xf numFmtId="49" fontId="7" fillId="0" borderId="4" xfId="0" applyNumberFormat="1" applyFont="1" applyBorder="1" applyAlignment="1" applyProtection="1">
      <alignment horizontal="center" vertical="center" wrapText="1"/>
      <protection locked="0"/>
    </xf>
    <xf numFmtId="49" fontId="4" fillId="0" borderId="27" xfId="0"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center" vertical="center"/>
      <protection locked="0"/>
    </xf>
    <xf numFmtId="49" fontId="4" fillId="0" borderId="11" xfId="0" applyNumberFormat="1" applyFont="1" applyBorder="1" applyAlignment="1" applyProtection="1">
      <alignment horizontal="center" vertical="center"/>
      <protection locked="0"/>
    </xf>
    <xf numFmtId="0" fontId="4" fillId="0" borderId="27" xfId="0" applyFont="1" applyBorder="1" applyAlignment="1" applyProtection="1">
      <alignment horizontal="left" vertical="center"/>
      <protection locked="0"/>
    </xf>
    <xf numFmtId="0" fontId="4" fillId="0" borderId="6"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4" fillId="0" borderId="7" xfId="0" applyFont="1" applyBorder="1" applyAlignment="1" applyProtection="1">
      <alignment horizontal="left" vertical="center"/>
      <protection locked="0"/>
    </xf>
    <xf numFmtId="0" fontId="4" fillId="0" borderId="1"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13" fillId="0" borderId="0" xfId="0" applyFont="1" applyAlignment="1" applyProtection="1">
      <alignment horizontal="center" vertical="center" shrinkToFit="1"/>
      <protection locked="0"/>
    </xf>
    <xf numFmtId="0" fontId="13" fillId="0" borderId="4" xfId="0" applyFont="1" applyBorder="1" applyAlignment="1" applyProtection="1">
      <alignment horizontal="center" vertical="center" shrinkToFit="1"/>
      <protection locked="0"/>
    </xf>
    <xf numFmtId="0" fontId="4" fillId="0" borderId="18" xfId="0" applyFont="1" applyBorder="1" applyAlignment="1">
      <alignment horizontal="center"/>
    </xf>
    <xf numFmtId="0" fontId="12" fillId="0" borderId="7" xfId="0" applyFont="1" applyBorder="1" applyAlignment="1" applyProtection="1">
      <alignment horizontal="center" vertical="center"/>
      <protection locked="0"/>
    </xf>
    <xf numFmtId="0" fontId="12" fillId="0" borderId="1" xfId="0" applyFont="1" applyBorder="1" applyAlignment="1" applyProtection="1">
      <alignment horizontal="center" vertical="center"/>
      <protection locked="0"/>
    </xf>
    <xf numFmtId="0" fontId="12" fillId="0" borderId="3" xfId="0" applyFont="1" applyBorder="1" applyAlignment="1" applyProtection="1">
      <alignment horizontal="center" vertical="center"/>
      <protection locked="0"/>
    </xf>
    <xf numFmtId="0" fontId="12" fillId="0" borderId="9" xfId="0" applyFont="1" applyBorder="1" applyAlignment="1" applyProtection="1">
      <alignment horizontal="center" vertical="center"/>
      <protection locked="0"/>
    </xf>
    <xf numFmtId="0" fontId="12" fillId="0" borderId="2" xfId="0" applyFont="1" applyBorder="1" applyAlignment="1" applyProtection="1">
      <alignment horizontal="center" vertical="center"/>
      <protection locked="0"/>
    </xf>
    <xf numFmtId="0" fontId="12" fillId="0" borderId="5" xfId="0" applyFont="1" applyBorder="1" applyAlignment="1" applyProtection="1">
      <alignment horizontal="center" vertical="center"/>
      <protection locked="0"/>
    </xf>
    <xf numFmtId="0" fontId="12" fillId="0" borderId="26" xfId="0" applyFont="1" applyBorder="1" applyAlignment="1" applyProtection="1">
      <alignment horizontal="center" vertical="center"/>
      <protection locked="0"/>
    </xf>
    <xf numFmtId="0" fontId="12" fillId="0" borderId="28" xfId="0" applyFont="1" applyBorder="1" applyAlignment="1" applyProtection="1">
      <alignment horizontal="center" vertical="center"/>
      <protection locked="0"/>
    </xf>
    <xf numFmtId="0" fontId="8"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8" fillId="0" borderId="0" xfId="0" applyNumberFormat="1" applyFont="1" applyAlignment="1">
      <alignment horizontal="center"/>
    </xf>
    <xf numFmtId="49" fontId="0" fillId="0" borderId="0" xfId="0" applyNumberFormat="1" applyAlignment="1">
      <alignment horizontal="center"/>
    </xf>
    <xf numFmtId="0" fontId="14" fillId="0" borderId="8" xfId="0"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1" fillId="0" borderId="8" xfId="0" applyFont="1" applyBorder="1" applyAlignment="1">
      <alignment horizontal="center" vertical="center"/>
    </xf>
    <xf numFmtId="0" fontId="11" fillId="0" borderId="0" xfId="0" applyFont="1" applyAlignment="1">
      <alignment horizontal="center" vertical="center"/>
    </xf>
    <xf numFmtId="0" fontId="11"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2" fillId="0" borderId="10" xfId="0" applyNumberFormat="1" applyFont="1" applyBorder="1" applyAlignment="1" applyProtection="1">
      <alignment horizontal="center" vertical="center"/>
      <protection locked="0"/>
    </xf>
    <xf numFmtId="49" fontId="12" fillId="0" borderId="28" xfId="0" applyNumberFormat="1"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0" fontId="6" fillId="0" borderId="6" xfId="0" applyFont="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14" fontId="12" fillId="0" borderId="7" xfId="0" applyNumberFormat="1" applyFont="1" applyBorder="1" applyAlignment="1" applyProtection="1">
      <alignment horizontal="center" vertical="center"/>
      <protection locked="0"/>
    </xf>
    <xf numFmtId="14" fontId="12" fillId="0" borderId="3" xfId="0" applyNumberFormat="1" applyFont="1" applyBorder="1" applyAlignment="1" applyProtection="1">
      <alignment horizontal="center" vertical="center"/>
      <protection locked="0"/>
    </xf>
    <xf numFmtId="14" fontId="12" fillId="0" borderId="9" xfId="0" applyNumberFormat="1" applyFont="1" applyBorder="1" applyAlignment="1" applyProtection="1">
      <alignment horizontal="center" vertical="center"/>
      <protection locked="0"/>
    </xf>
    <xf numFmtId="14" fontId="12" fillId="0" borderId="5" xfId="0" applyNumberFormat="1" applyFont="1" applyBorder="1" applyAlignment="1" applyProtection="1">
      <alignment horizontal="center" vertical="center"/>
      <protection locked="0"/>
    </xf>
    <xf numFmtId="0" fontId="7" fillId="0" borderId="18" xfId="0" applyFont="1" applyBorder="1" applyAlignment="1">
      <alignment horizontal="center"/>
    </xf>
    <xf numFmtId="1" fontId="22" fillId="0" borderId="7" xfId="0" applyNumberFormat="1" applyFont="1" applyBorder="1" applyAlignment="1" applyProtection="1">
      <alignment horizontal="center" vertical="center" shrinkToFit="1"/>
      <protection hidden="1"/>
    </xf>
    <xf numFmtId="1" fontId="22" fillId="0" borderId="1" xfId="0" applyNumberFormat="1" applyFont="1" applyBorder="1" applyAlignment="1" applyProtection="1">
      <alignment horizontal="center" vertical="center" shrinkToFit="1"/>
      <protection hidden="1"/>
    </xf>
    <xf numFmtId="1" fontId="22" fillId="0" borderId="3" xfId="0" applyNumberFormat="1" applyFont="1" applyBorder="1" applyAlignment="1" applyProtection="1">
      <alignment horizontal="center" vertical="center" shrinkToFit="1"/>
      <protection hidden="1"/>
    </xf>
    <xf numFmtId="1" fontId="22" fillId="0" borderId="9" xfId="0" applyNumberFormat="1" applyFont="1" applyBorder="1" applyAlignment="1" applyProtection="1">
      <alignment horizontal="center" vertical="center" shrinkToFit="1"/>
      <protection hidden="1"/>
    </xf>
    <xf numFmtId="1" fontId="22" fillId="0" borderId="2" xfId="0" applyNumberFormat="1" applyFont="1" applyBorder="1" applyAlignment="1" applyProtection="1">
      <alignment horizontal="center" vertical="center" shrinkToFit="1"/>
      <protection hidden="1"/>
    </xf>
    <xf numFmtId="1" fontId="22" fillId="0" borderId="5" xfId="0" applyNumberFormat="1" applyFont="1" applyBorder="1" applyAlignment="1" applyProtection="1">
      <alignment horizontal="center" vertical="center" shrinkToFit="1"/>
      <protection hidden="1"/>
    </xf>
    <xf numFmtId="0" fontId="4" fillId="0" borderId="26" xfId="0" applyFont="1" applyBorder="1" applyAlignment="1">
      <alignment horizontal="center" vertical="top"/>
    </xf>
    <xf numFmtId="0" fontId="4" fillId="0" borderId="10" xfId="0" applyFont="1" applyBorder="1" applyAlignment="1">
      <alignment horizontal="center" vertical="top"/>
    </xf>
    <xf numFmtId="0" fontId="4" fillId="0" borderId="28" xfId="0" applyFont="1" applyBorder="1" applyAlignment="1">
      <alignment horizontal="center" vertical="top"/>
    </xf>
    <xf numFmtId="0" fontId="4" fillId="0" borderId="26"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28" xfId="0" applyFont="1"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14" fontId="4" fillId="0" borderId="27"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4"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4"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7" fillId="0" borderId="26" xfId="0" applyFont="1" applyBorder="1" applyAlignment="1">
      <alignment horizontal="center" textRotation="90" wrapText="1"/>
    </xf>
    <xf numFmtId="0" fontId="7" fillId="0" borderId="10" xfId="0" applyFont="1" applyBorder="1" applyAlignment="1">
      <alignment horizontal="center" textRotation="90" wrapText="1"/>
    </xf>
    <xf numFmtId="0" fontId="7" fillId="0" borderId="28" xfId="0" applyFont="1" applyBorder="1" applyAlignment="1">
      <alignment horizontal="center" textRotation="90" wrapText="1"/>
    </xf>
    <xf numFmtId="0" fontId="4" fillId="0" borderId="27" xfId="0" applyFont="1" applyBorder="1" applyAlignment="1" applyProtection="1">
      <alignment horizontal="center" vertical="center"/>
      <protection locked="0"/>
    </xf>
    <xf numFmtId="0" fontId="4" fillId="0" borderId="8" xfId="0" applyFont="1" applyBorder="1" applyAlignment="1" applyProtection="1">
      <alignment horizontal="left" vertical="center"/>
      <protection locked="0"/>
    </xf>
    <xf numFmtId="0" fontId="4" fillId="0" borderId="0" xfId="0" applyFont="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4" fillId="0" borderId="18" xfId="0" applyFont="1" applyBorder="1" applyAlignment="1" applyProtection="1">
      <alignment horizontal="left" vertical="center"/>
      <protection locked="0"/>
    </xf>
    <xf numFmtId="0" fontId="15" fillId="0" borderId="27" xfId="0" applyFont="1" applyBorder="1" applyAlignment="1">
      <alignment horizontal="left" vertical="center"/>
    </xf>
    <xf numFmtId="0" fontId="15" fillId="0" borderId="6" xfId="0" applyFont="1" applyBorder="1" applyAlignment="1">
      <alignment horizontal="left" vertical="center"/>
    </xf>
    <xf numFmtId="0" fontId="15" fillId="0" borderId="11" xfId="0" applyFont="1" applyBorder="1" applyAlignment="1">
      <alignment horizontal="left" vertical="center"/>
    </xf>
    <xf numFmtId="0" fontId="15" fillId="0" borderId="27" xfId="0" applyFont="1" applyBorder="1" applyAlignment="1">
      <alignment horizontal="center" vertical="center"/>
    </xf>
    <xf numFmtId="0" fontId="15" fillId="0" borderId="6" xfId="0" applyFont="1" applyBorder="1" applyAlignment="1">
      <alignment horizontal="center" vertical="center"/>
    </xf>
    <xf numFmtId="0" fontId="15" fillId="0" borderId="11" xfId="0" applyFont="1" applyBorder="1" applyAlignment="1">
      <alignment horizontal="center" vertical="center"/>
    </xf>
    <xf numFmtId="0" fontId="4" fillId="0" borderId="7" xfId="0" applyFont="1" applyBorder="1" applyAlignment="1" applyProtection="1">
      <alignment horizontal="left" vertical="center" wrapText="1"/>
      <protection locked="0"/>
    </xf>
    <xf numFmtId="0" fontId="4" fillId="0" borderId="18" xfId="0" applyFont="1" applyBorder="1" applyAlignment="1" applyProtection="1">
      <alignment horizontal="left" vertical="center" wrapText="1"/>
      <protection locked="0"/>
    </xf>
    <xf numFmtId="49" fontId="4" fillId="0" borderId="27" xfId="0" applyNumberFormat="1" applyFont="1" applyBorder="1" applyAlignment="1" applyProtection="1">
      <alignment horizontal="left" vertical="center"/>
      <protection locked="0"/>
    </xf>
    <xf numFmtId="49" fontId="4" fillId="0" borderId="6" xfId="0" applyNumberFormat="1" applyFont="1" applyBorder="1" applyAlignment="1" applyProtection="1">
      <alignment horizontal="left" vertical="center"/>
      <protection locked="0"/>
    </xf>
    <xf numFmtId="49" fontId="4" fillId="0" borderId="11" xfId="0" applyNumberFormat="1" applyFont="1" applyBorder="1" applyAlignment="1" applyProtection="1">
      <alignment horizontal="left" vertical="center"/>
      <protection locked="0"/>
    </xf>
    <xf numFmtId="0" fontId="28" fillId="3" borderId="13" xfId="22" applyFont="1" applyFill="1" applyBorder="1" applyAlignment="1" applyProtection="1">
      <alignment horizontal="right" vertical="center"/>
      <protection locked="0"/>
    </xf>
    <xf numFmtId="0" fontId="12" fillId="3" borderId="0" xfId="18" applyFont="1" applyFill="1" applyAlignment="1" applyProtection="1">
      <alignment horizontal="center" vertical="center"/>
      <protection locked="0"/>
    </xf>
    <xf numFmtId="0" fontId="40" fillId="3" borderId="0" xfId="18" applyFont="1" applyFill="1" applyAlignment="1" applyProtection="1">
      <alignment horizontal="center" vertical="center"/>
      <protection locked="0"/>
    </xf>
    <xf numFmtId="0" fontId="45" fillId="3" borderId="0" xfId="22" applyFont="1" applyFill="1" applyBorder="1" applyAlignment="1" applyProtection="1">
      <alignment horizontal="center" vertical="center"/>
      <protection locked="0"/>
    </xf>
    <xf numFmtId="0" fontId="45" fillId="3" borderId="13" xfId="22" applyFont="1" applyFill="1" applyBorder="1" applyAlignment="1" applyProtection="1">
      <alignment horizontal="center" vertical="center"/>
      <protection locked="0"/>
    </xf>
    <xf numFmtId="49" fontId="27" fillId="3" borderId="23" xfId="18" applyNumberFormat="1" applyFont="1" applyFill="1" applyBorder="1" applyAlignment="1" applyProtection="1">
      <alignment horizontal="center" vertical="center" wrapText="1"/>
      <protection locked="0"/>
    </xf>
    <xf numFmtId="49" fontId="27" fillId="3" borderId="57" xfId="18" applyNumberFormat="1" applyFont="1" applyFill="1" applyBorder="1" applyAlignment="1" applyProtection="1">
      <alignment horizontal="center" vertical="center" wrapText="1"/>
      <protection locked="0"/>
    </xf>
    <xf numFmtId="0" fontId="56" fillId="13" borderId="15" xfId="18" applyFont="1" applyFill="1" applyBorder="1" applyAlignment="1" applyProtection="1">
      <alignment horizontal="center" vertical="center"/>
      <protection hidden="1"/>
    </xf>
    <xf numFmtId="0" fontId="56" fillId="13" borderId="0" xfId="18" applyFont="1" applyFill="1" applyAlignment="1" applyProtection="1">
      <alignment horizontal="center" vertical="center"/>
      <protection hidden="1"/>
    </xf>
    <xf numFmtId="0" fontId="56" fillId="13" borderId="16" xfId="18" applyFont="1" applyFill="1" applyBorder="1" applyAlignment="1" applyProtection="1">
      <alignment horizontal="center" vertical="center"/>
      <protection hidden="1"/>
    </xf>
    <xf numFmtId="0" fontId="56" fillId="13" borderId="55" xfId="18" applyFont="1" applyFill="1" applyBorder="1" applyAlignment="1" applyProtection="1">
      <alignment horizontal="center" vertical="center"/>
      <protection hidden="1"/>
    </xf>
    <xf numFmtId="0" fontId="56" fillId="13" borderId="36" xfId="18" applyFont="1" applyFill="1" applyBorder="1" applyAlignment="1" applyProtection="1">
      <alignment horizontal="center" vertical="center"/>
      <protection hidden="1"/>
    </xf>
    <xf numFmtId="0" fontId="56" fillId="13" borderId="56" xfId="18" applyFont="1" applyFill="1" applyBorder="1" applyAlignment="1" applyProtection="1">
      <alignment horizontal="center" vertical="center"/>
      <protection hidden="1"/>
    </xf>
    <xf numFmtId="0" fontId="40" fillId="13" borderId="11" xfId="18" applyFont="1" applyFill="1" applyBorder="1" applyAlignment="1" applyProtection="1">
      <alignment horizontal="left" vertical="center"/>
      <protection hidden="1"/>
    </xf>
    <xf numFmtId="0" fontId="40" fillId="13" borderId="18" xfId="18" applyFont="1" applyFill="1" applyBorder="1" applyAlignment="1" applyProtection="1">
      <alignment horizontal="left" vertical="center"/>
      <protection hidden="1"/>
    </xf>
    <xf numFmtId="0" fontId="51" fillId="13" borderId="7" xfId="18" applyFont="1" applyFill="1" applyBorder="1" applyAlignment="1" applyProtection="1">
      <alignment horizontal="center" vertical="center" shrinkToFit="1"/>
      <protection hidden="1"/>
    </xf>
    <xf numFmtId="0" fontId="51" fillId="13" borderId="44" xfId="18" applyFont="1" applyFill="1" applyBorder="1" applyAlignment="1" applyProtection="1">
      <alignment horizontal="center" vertical="center" shrinkToFit="1"/>
      <protection hidden="1"/>
    </xf>
    <xf numFmtId="0" fontId="51" fillId="13" borderId="71" xfId="18" applyFont="1" applyFill="1" applyBorder="1" applyAlignment="1" applyProtection="1">
      <alignment horizontal="center" vertical="center" shrinkToFit="1"/>
      <protection hidden="1"/>
    </xf>
    <xf numFmtId="0" fontId="51" fillId="13" borderId="56" xfId="18" applyFont="1" applyFill="1" applyBorder="1" applyAlignment="1" applyProtection="1">
      <alignment horizontal="center" vertical="center" shrinkToFit="1"/>
      <protection hidden="1"/>
    </xf>
    <xf numFmtId="0" fontId="12" fillId="13" borderId="19" xfId="18" applyFont="1" applyFill="1" applyBorder="1" applyAlignment="1" applyProtection="1">
      <alignment horizontal="left" vertical="center"/>
      <protection hidden="1"/>
    </xf>
    <xf numFmtId="0" fontId="12" fillId="13" borderId="18" xfId="18" applyFont="1" applyFill="1" applyBorder="1" applyAlignment="1" applyProtection="1">
      <alignment horizontal="left" vertical="center"/>
      <protection hidden="1"/>
    </xf>
    <xf numFmtId="0" fontId="42" fillId="13" borderId="7" xfId="17" applyFont="1" applyFill="1" applyBorder="1" applyAlignment="1" applyProtection="1">
      <alignment horizontal="center" vertical="center" shrinkToFit="1"/>
      <protection hidden="1"/>
    </xf>
    <xf numFmtId="0" fontId="42" fillId="13" borderId="1" xfId="17" applyFont="1" applyFill="1" applyBorder="1" applyAlignment="1" applyProtection="1">
      <alignment horizontal="center" vertical="center" shrinkToFit="1"/>
      <protection hidden="1"/>
    </xf>
    <xf numFmtId="0" fontId="42" fillId="13" borderId="44" xfId="17" applyFont="1" applyFill="1" applyBorder="1" applyAlignment="1" applyProtection="1">
      <alignment horizontal="center" vertical="center" shrinkToFit="1"/>
      <protection hidden="1"/>
    </xf>
    <xf numFmtId="0" fontId="42" fillId="13" borderId="9" xfId="17" applyFont="1" applyFill="1" applyBorder="1" applyAlignment="1" applyProtection="1">
      <alignment horizontal="center" vertical="center" shrinkToFit="1"/>
      <protection hidden="1"/>
    </xf>
    <xf numFmtId="0" fontId="42" fillId="13" borderId="2" xfId="17" applyFont="1" applyFill="1" applyBorder="1" applyAlignment="1" applyProtection="1">
      <alignment horizontal="center" vertical="center" shrinkToFit="1"/>
      <protection hidden="1"/>
    </xf>
    <xf numFmtId="0" fontId="42" fillId="13" borderId="41" xfId="17" applyFont="1" applyFill="1" applyBorder="1" applyAlignment="1" applyProtection="1">
      <alignment horizontal="center" vertical="center" shrinkToFit="1"/>
      <protection hidden="1"/>
    </xf>
    <xf numFmtId="0" fontId="42" fillId="13" borderId="8" xfId="18" applyFont="1" applyFill="1" applyBorder="1" applyAlignment="1" applyProtection="1">
      <alignment horizontal="center" vertical="center" shrinkToFit="1"/>
      <protection hidden="1"/>
    </xf>
    <xf numFmtId="0" fontId="42" fillId="13" borderId="0" xfId="18" applyFont="1" applyFill="1" applyAlignment="1" applyProtection="1">
      <alignment horizontal="center" vertical="center" shrinkToFit="1"/>
      <protection hidden="1"/>
    </xf>
    <xf numFmtId="0" fontId="42" fillId="13" borderId="16" xfId="18" applyFont="1" applyFill="1" applyBorder="1" applyAlignment="1" applyProtection="1">
      <alignment horizontal="center" vertical="center" shrinkToFit="1"/>
      <protection hidden="1"/>
    </xf>
    <xf numFmtId="0" fontId="42" fillId="13" borderId="9" xfId="18" applyFont="1" applyFill="1" applyBorder="1" applyAlignment="1" applyProtection="1">
      <alignment horizontal="center" vertical="center" shrinkToFit="1"/>
      <protection hidden="1"/>
    </xf>
    <xf numFmtId="0" fontId="42" fillId="13" borderId="2" xfId="18" applyFont="1" applyFill="1" applyBorder="1" applyAlignment="1" applyProtection="1">
      <alignment horizontal="center" vertical="center" shrinkToFit="1"/>
      <protection hidden="1"/>
    </xf>
    <xf numFmtId="0" fontId="42" fillId="13" borderId="41" xfId="18" applyFont="1" applyFill="1" applyBorder="1" applyAlignment="1" applyProtection="1">
      <alignment horizontal="center" vertical="center" shrinkToFit="1"/>
      <protection hidden="1"/>
    </xf>
    <xf numFmtId="0" fontId="40" fillId="13" borderId="25" xfId="18" applyFont="1" applyFill="1" applyBorder="1" applyAlignment="1" applyProtection="1">
      <alignment horizontal="left" vertical="center"/>
      <protection hidden="1"/>
    </xf>
    <xf numFmtId="0" fontId="40" fillId="13" borderId="21" xfId="18" applyFont="1" applyFill="1" applyBorder="1" applyAlignment="1" applyProtection="1">
      <alignment horizontal="left" vertical="center"/>
      <protection hidden="1"/>
    </xf>
    <xf numFmtId="0" fontId="12" fillId="13" borderId="20" xfId="18" applyFont="1" applyFill="1" applyBorder="1" applyAlignment="1" applyProtection="1">
      <alignment horizontal="left" vertical="center"/>
      <protection hidden="1"/>
    </xf>
    <xf numFmtId="0" fontId="12" fillId="13" borderId="21" xfId="18" applyFont="1" applyFill="1" applyBorder="1" applyAlignment="1" applyProtection="1">
      <alignment horizontal="left" vertical="center"/>
      <protection hidden="1"/>
    </xf>
    <xf numFmtId="14" fontId="42" fillId="13" borderId="7" xfId="18" applyNumberFormat="1" applyFont="1" applyFill="1" applyBorder="1" applyAlignment="1" applyProtection="1">
      <alignment horizontal="center" vertical="center" shrinkToFit="1"/>
      <protection hidden="1"/>
    </xf>
    <xf numFmtId="14" fontId="42" fillId="13" borderId="1" xfId="18" applyNumberFormat="1" applyFont="1" applyFill="1" applyBorder="1" applyAlignment="1" applyProtection="1">
      <alignment horizontal="center" vertical="center" shrinkToFit="1"/>
      <protection hidden="1"/>
    </xf>
    <xf numFmtId="14" fontId="42" fillId="13" borderId="44" xfId="18" applyNumberFormat="1" applyFont="1" applyFill="1" applyBorder="1" applyAlignment="1" applyProtection="1">
      <alignment horizontal="center" vertical="center" shrinkToFit="1"/>
      <protection hidden="1"/>
    </xf>
    <xf numFmtId="14" fontId="42" fillId="13" borderId="9" xfId="18" applyNumberFormat="1" applyFont="1" applyFill="1" applyBorder="1" applyAlignment="1" applyProtection="1">
      <alignment horizontal="center" vertical="center" shrinkToFit="1"/>
      <protection hidden="1"/>
    </xf>
    <xf numFmtId="14" fontId="42" fillId="13" borderId="2" xfId="18" applyNumberFormat="1" applyFont="1" applyFill="1" applyBorder="1" applyAlignment="1" applyProtection="1">
      <alignment horizontal="center" vertical="center" shrinkToFit="1"/>
      <protection hidden="1"/>
    </xf>
    <xf numFmtId="14" fontId="42" fillId="13" borderId="41" xfId="18" applyNumberFormat="1" applyFont="1" applyFill="1" applyBorder="1" applyAlignment="1" applyProtection="1">
      <alignment horizontal="center" vertical="center" shrinkToFit="1"/>
      <protection hidden="1"/>
    </xf>
    <xf numFmtId="0" fontId="51" fillId="13" borderId="8" xfId="18" applyFont="1" applyFill="1" applyBorder="1" applyAlignment="1" applyProtection="1">
      <alignment horizontal="center" vertical="center" shrinkToFit="1"/>
      <protection hidden="1"/>
    </xf>
    <xf numFmtId="0" fontId="51" fillId="13" borderId="16" xfId="18" applyFont="1" applyFill="1" applyBorder="1" applyAlignment="1" applyProtection="1">
      <alignment horizontal="center" vertical="center" shrinkToFit="1"/>
      <protection hidden="1"/>
    </xf>
    <xf numFmtId="0" fontId="51" fillId="13" borderId="9" xfId="18" applyFont="1" applyFill="1" applyBorder="1" applyAlignment="1" applyProtection="1">
      <alignment horizontal="center" vertical="center" shrinkToFit="1"/>
      <protection hidden="1"/>
    </xf>
    <xf numFmtId="0" fontId="51" fillId="13" borderId="41" xfId="18" applyFont="1" applyFill="1" applyBorder="1" applyAlignment="1" applyProtection="1">
      <alignment horizontal="center" vertical="center" shrinkToFit="1"/>
      <protection hidden="1"/>
    </xf>
    <xf numFmtId="49" fontId="12" fillId="13" borderId="32" xfId="18" applyNumberFormat="1" applyFont="1" applyFill="1" applyBorder="1" applyAlignment="1" applyProtection="1">
      <alignment horizontal="left" vertical="justify"/>
      <protection hidden="1"/>
    </xf>
    <xf numFmtId="49" fontId="12" fillId="13" borderId="23" xfId="18" applyNumberFormat="1" applyFont="1" applyFill="1" applyBorder="1" applyAlignment="1" applyProtection="1">
      <alignment horizontal="left" vertical="justify"/>
      <protection hidden="1"/>
    </xf>
    <xf numFmtId="49" fontId="12" fillId="13" borderId="59" xfId="18" applyNumberFormat="1" applyFont="1" applyFill="1" applyBorder="1" applyAlignment="1" applyProtection="1">
      <alignment horizontal="left" vertical="justify"/>
      <protection hidden="1"/>
    </xf>
    <xf numFmtId="0" fontId="12" fillId="13" borderId="37" xfId="18" applyFont="1" applyFill="1" applyBorder="1" applyAlignment="1" applyProtection="1">
      <alignment horizontal="left" vertical="center"/>
      <protection hidden="1"/>
    </xf>
    <xf numFmtId="0" fontId="12" fillId="13" borderId="28" xfId="18" applyFont="1" applyFill="1" applyBorder="1" applyAlignment="1" applyProtection="1">
      <alignment horizontal="left" vertical="center"/>
      <protection hidden="1"/>
    </xf>
    <xf numFmtId="1" fontId="28" fillId="13" borderId="65" xfId="18" applyNumberFormat="1" applyFont="1" applyFill="1" applyBorder="1" applyAlignment="1" applyProtection="1">
      <alignment horizontal="center" vertical="center" shrinkToFit="1"/>
      <protection hidden="1"/>
    </xf>
    <xf numFmtId="1" fontId="28" fillId="13" borderId="66" xfId="18" applyNumberFormat="1" applyFont="1" applyFill="1" applyBorder="1" applyAlignment="1" applyProtection="1">
      <alignment horizontal="center" vertical="center" shrinkToFit="1"/>
      <protection hidden="1"/>
    </xf>
    <xf numFmtId="1" fontId="28" fillId="13" borderId="67" xfId="18" applyNumberFormat="1" applyFont="1" applyFill="1" applyBorder="1" applyAlignment="1" applyProtection="1">
      <alignment horizontal="center" vertical="center" shrinkToFit="1"/>
      <protection hidden="1"/>
    </xf>
    <xf numFmtId="0" fontId="22" fillId="13" borderId="20" xfId="18" applyFont="1" applyFill="1" applyBorder="1" applyAlignment="1" applyProtection="1">
      <alignment horizontal="center" vertical="center" wrapText="1" shrinkToFit="1"/>
      <protection hidden="1"/>
    </xf>
    <xf numFmtId="0" fontId="22" fillId="13" borderId="21" xfId="18" applyFont="1" applyFill="1" applyBorder="1" applyAlignment="1" applyProtection="1">
      <alignment horizontal="center" vertical="center" wrapText="1" shrinkToFit="1"/>
      <protection hidden="1"/>
    </xf>
    <xf numFmtId="0" fontId="22" fillId="0" borderId="40" xfId="18" applyFont="1" applyBorder="1" applyAlignment="1" applyProtection="1">
      <alignment horizontal="center" vertical="center" wrapText="1" shrinkToFit="1"/>
      <protection locked="0" hidden="1"/>
    </xf>
    <xf numFmtId="0" fontId="22" fillId="0" borderId="39" xfId="18" applyFont="1" applyBorder="1" applyAlignment="1" applyProtection="1">
      <alignment horizontal="center" vertical="center" wrapText="1" shrinkToFit="1"/>
      <protection locked="0" hidden="1"/>
    </xf>
    <xf numFmtId="0" fontId="22" fillId="0" borderId="25" xfId="18" applyFont="1" applyBorder="1" applyAlignment="1" applyProtection="1">
      <alignment horizontal="center" vertical="center" wrapText="1" shrinkToFit="1"/>
      <protection locked="0" hidden="1"/>
    </xf>
    <xf numFmtId="0" fontId="26" fillId="3" borderId="27" xfId="18" applyFont="1" applyFill="1" applyBorder="1" applyAlignment="1" applyProtection="1">
      <alignment horizontal="center"/>
      <protection hidden="1"/>
    </xf>
    <xf numFmtId="0" fontId="26" fillId="3" borderId="11" xfId="18" applyFont="1" applyFill="1" applyBorder="1" applyAlignment="1" applyProtection="1">
      <alignment horizontal="center"/>
      <protection hidden="1"/>
    </xf>
    <xf numFmtId="0" fontId="40" fillId="13" borderId="70" xfId="18" applyFont="1" applyFill="1" applyBorder="1" applyAlignment="1" applyProtection="1">
      <alignment horizontal="left" vertical="center"/>
      <protection hidden="1"/>
    </xf>
    <xf numFmtId="0" fontId="40" fillId="13" borderId="1" xfId="18" applyFont="1" applyFill="1" applyBorder="1" applyAlignment="1" applyProtection="1">
      <alignment horizontal="left" vertical="center"/>
      <protection hidden="1"/>
    </xf>
    <xf numFmtId="0" fontId="40" fillId="13" borderId="44" xfId="18" applyFont="1" applyFill="1" applyBorder="1" applyAlignment="1" applyProtection="1">
      <alignment horizontal="left" vertical="center"/>
      <protection hidden="1"/>
    </xf>
    <xf numFmtId="0" fontId="40" fillId="13" borderId="24" xfId="18" applyFont="1" applyFill="1" applyBorder="1" applyAlignment="1" applyProtection="1">
      <alignment horizontal="left" vertical="top"/>
      <protection hidden="1"/>
    </xf>
    <xf numFmtId="0" fontId="40" fillId="13" borderId="23" xfId="18" applyFont="1" applyFill="1" applyBorder="1" applyAlignment="1" applyProtection="1">
      <alignment horizontal="left" vertical="top"/>
      <protection hidden="1"/>
    </xf>
    <xf numFmtId="0" fontId="40" fillId="13" borderId="57" xfId="18" applyFont="1" applyFill="1" applyBorder="1" applyAlignment="1" applyProtection="1">
      <alignment horizontal="left" vertical="top"/>
      <protection hidden="1"/>
    </xf>
    <xf numFmtId="0" fontId="40" fillId="13" borderId="19" xfId="18" applyFont="1" applyFill="1" applyBorder="1" applyAlignment="1" applyProtection="1">
      <alignment horizontal="left" vertical="center"/>
      <protection hidden="1"/>
    </xf>
    <xf numFmtId="49" fontId="12" fillId="13" borderId="15" xfId="18" applyNumberFormat="1" applyFont="1" applyFill="1" applyBorder="1" applyAlignment="1" applyProtection="1">
      <alignment horizontal="center" vertical="justify"/>
      <protection hidden="1"/>
    </xf>
    <xf numFmtId="49" fontId="12" fillId="13" borderId="16" xfId="18" applyNumberFormat="1" applyFont="1" applyFill="1" applyBorder="1" applyAlignment="1" applyProtection="1">
      <alignment horizontal="center" vertical="justify"/>
      <protection hidden="1"/>
    </xf>
    <xf numFmtId="0" fontId="55" fillId="13" borderId="15" xfId="18" applyFont="1" applyFill="1" applyBorder="1" applyAlignment="1" applyProtection="1">
      <alignment horizontal="center" vertical="center" shrinkToFit="1"/>
      <protection hidden="1"/>
    </xf>
    <xf numFmtId="0" fontId="55" fillId="13" borderId="0" xfId="18" applyFont="1" applyFill="1" applyAlignment="1" applyProtection="1">
      <alignment horizontal="center" vertical="center" shrinkToFit="1"/>
      <protection hidden="1"/>
    </xf>
    <xf numFmtId="0" fontId="55" fillId="13" borderId="16" xfId="18" applyFont="1" applyFill="1" applyBorder="1" applyAlignment="1" applyProtection="1">
      <alignment horizontal="center" vertical="center" shrinkToFit="1"/>
      <protection hidden="1"/>
    </xf>
    <xf numFmtId="0" fontId="55" fillId="13" borderId="55" xfId="18" applyFont="1" applyFill="1" applyBorder="1" applyAlignment="1" applyProtection="1">
      <alignment horizontal="center" vertical="center" shrinkToFit="1"/>
      <protection hidden="1"/>
    </xf>
    <xf numFmtId="0" fontId="55" fillId="13" borderId="36" xfId="18" applyFont="1" applyFill="1" applyBorder="1" applyAlignment="1" applyProtection="1">
      <alignment horizontal="center" vertical="center" shrinkToFit="1"/>
      <protection hidden="1"/>
    </xf>
    <xf numFmtId="0" fontId="55" fillId="13" borderId="56" xfId="18" applyFont="1" applyFill="1" applyBorder="1" applyAlignment="1" applyProtection="1">
      <alignment horizontal="center" vertical="center" shrinkToFit="1"/>
      <protection hidden="1"/>
    </xf>
    <xf numFmtId="49" fontId="27" fillId="3" borderId="23" xfId="18" applyNumberFormat="1" applyFont="1" applyFill="1" applyBorder="1" applyAlignment="1" applyProtection="1">
      <alignment horizontal="center" vertical="center"/>
      <protection locked="0"/>
    </xf>
    <xf numFmtId="49" fontId="27" fillId="3" borderId="57" xfId="18" applyNumberFormat="1" applyFont="1" applyFill="1" applyBorder="1" applyAlignment="1" applyProtection="1">
      <alignment horizontal="center" vertical="center"/>
      <protection locked="0"/>
    </xf>
    <xf numFmtId="0" fontId="42" fillId="13" borderId="8" xfId="17" applyFont="1" applyFill="1" applyBorder="1" applyAlignment="1" applyProtection="1">
      <alignment horizontal="center" vertical="center" shrinkToFit="1"/>
      <protection hidden="1"/>
    </xf>
    <xf numFmtId="0" fontId="42" fillId="13" borderId="0" xfId="17" applyFont="1" applyFill="1" applyAlignment="1" applyProtection="1">
      <alignment horizontal="center" vertical="center" shrinkToFit="1"/>
      <protection hidden="1"/>
    </xf>
    <xf numFmtId="0" fontId="42" fillId="13" borderId="16" xfId="17" applyFont="1" applyFill="1" applyBorder="1" applyAlignment="1" applyProtection="1">
      <alignment horizontal="center" vertical="center" shrinkToFit="1"/>
      <protection hidden="1"/>
    </xf>
    <xf numFmtId="0" fontId="42" fillId="13" borderId="53" xfId="18" applyFont="1" applyFill="1" applyBorder="1" applyAlignment="1" applyProtection="1">
      <alignment horizontal="center" vertical="center" shrinkToFit="1"/>
      <protection hidden="1"/>
    </xf>
    <xf numFmtId="0" fontId="42" fillId="13" borderId="13" xfId="18" applyFont="1" applyFill="1" applyBorder="1" applyAlignment="1" applyProtection="1">
      <alignment horizontal="center" vertical="center" shrinkToFit="1"/>
      <protection hidden="1"/>
    </xf>
    <xf numFmtId="0" fontId="42" fillId="13" borderId="14" xfId="18" applyFont="1" applyFill="1" applyBorder="1" applyAlignment="1" applyProtection="1">
      <alignment horizontal="center" vertical="center" shrinkToFit="1"/>
      <protection hidden="1"/>
    </xf>
    <xf numFmtId="0" fontId="40" fillId="3" borderId="27" xfId="18" applyFont="1" applyFill="1" applyBorder="1" applyAlignment="1" applyProtection="1">
      <alignment horizontal="center" vertical="center"/>
      <protection locked="0"/>
    </xf>
    <xf numFmtId="0" fontId="40" fillId="3" borderId="11" xfId="18" applyFont="1" applyFill="1" applyBorder="1" applyAlignment="1" applyProtection="1">
      <alignment horizontal="center" vertical="center"/>
      <protection locked="0"/>
    </xf>
    <xf numFmtId="49" fontId="56" fillId="13" borderId="15" xfId="18" applyNumberFormat="1" applyFont="1" applyFill="1" applyBorder="1" applyAlignment="1" applyProtection="1">
      <alignment horizontal="center" vertical="center"/>
      <protection hidden="1"/>
    </xf>
    <xf numFmtId="49" fontId="56" fillId="13" borderId="0" xfId="18" applyNumberFormat="1" applyFont="1" applyFill="1" applyAlignment="1" applyProtection="1">
      <alignment horizontal="center" vertical="center"/>
      <protection hidden="1"/>
    </xf>
    <xf numFmtId="49" fontId="56" fillId="13" borderId="16" xfId="18" applyNumberFormat="1" applyFont="1" applyFill="1" applyBorder="1" applyAlignment="1" applyProtection="1">
      <alignment horizontal="center" vertical="center"/>
      <protection hidden="1"/>
    </xf>
    <xf numFmtId="49" fontId="56" fillId="13" borderId="46" xfId="18" applyNumberFormat="1" applyFont="1" applyFill="1" applyBorder="1" applyAlignment="1" applyProtection="1">
      <alignment horizontal="center" vertical="center"/>
      <protection hidden="1"/>
    </xf>
    <xf numFmtId="49" fontId="56" fillId="13" borderId="2" xfId="18" applyNumberFormat="1" applyFont="1" applyFill="1" applyBorder="1" applyAlignment="1" applyProtection="1">
      <alignment horizontal="center" vertical="center"/>
      <protection hidden="1"/>
    </xf>
    <xf numFmtId="49" fontId="56" fillId="13" borderId="41" xfId="18" applyNumberFormat="1" applyFont="1" applyFill="1" applyBorder="1" applyAlignment="1" applyProtection="1">
      <alignment horizontal="center" vertical="center"/>
      <protection hidden="1"/>
    </xf>
    <xf numFmtId="167" fontId="28" fillId="12" borderId="39" xfId="18" applyNumberFormat="1" applyFont="1" applyFill="1" applyBorder="1" applyAlignment="1" applyProtection="1">
      <alignment horizontal="center" vertical="center" wrapText="1" shrinkToFit="1"/>
      <protection hidden="1"/>
    </xf>
    <xf numFmtId="167" fontId="28" fillId="12" borderId="51" xfId="18" applyNumberFormat="1" applyFont="1" applyFill="1" applyBorder="1" applyAlignment="1" applyProtection="1">
      <alignment horizontal="center" vertical="center" wrapText="1" shrinkToFit="1"/>
      <protection hidden="1"/>
    </xf>
    <xf numFmtId="1" fontId="28" fillId="13" borderId="65" xfId="18" applyNumberFormat="1" applyFont="1" applyFill="1" applyBorder="1" applyAlignment="1">
      <alignment horizontal="right" vertical="center" wrapText="1" shrinkToFit="1"/>
    </xf>
    <xf numFmtId="1" fontId="28" fillId="13" borderId="75" xfId="18" applyNumberFormat="1" applyFont="1" applyFill="1" applyBorder="1" applyAlignment="1">
      <alignment horizontal="right" vertical="center" wrapText="1" shrinkToFit="1"/>
    </xf>
    <xf numFmtId="1" fontId="28" fillId="13" borderId="65" xfId="18" applyNumberFormat="1" applyFont="1" applyFill="1" applyBorder="1" applyAlignment="1">
      <alignment horizontal="center" vertical="center" wrapText="1" shrinkToFit="1"/>
    </xf>
    <xf numFmtId="1" fontId="28" fillId="13" borderId="66" xfId="18" applyNumberFormat="1" applyFont="1" applyFill="1" applyBorder="1" applyAlignment="1">
      <alignment horizontal="center" vertical="center" wrapText="1" shrinkToFit="1"/>
    </xf>
    <xf numFmtId="1" fontId="28" fillId="13" borderId="75" xfId="18" applyNumberFormat="1" applyFont="1" applyFill="1" applyBorder="1" applyAlignment="1">
      <alignment horizontal="center" vertical="center" wrapText="1" shrinkToFit="1"/>
    </xf>
    <xf numFmtId="1" fontId="28" fillId="13" borderId="55" xfId="18" applyNumberFormat="1" applyFont="1" applyFill="1" applyBorder="1" applyAlignment="1">
      <alignment horizontal="right" vertical="center" wrapText="1" shrinkToFit="1"/>
    </xf>
    <xf numFmtId="1" fontId="28" fillId="13" borderId="64" xfId="18" applyNumberFormat="1" applyFont="1" applyFill="1" applyBorder="1" applyAlignment="1">
      <alignment horizontal="right" vertical="center" wrapText="1" shrinkToFit="1"/>
    </xf>
    <xf numFmtId="1" fontId="28" fillId="13" borderId="36" xfId="18" applyNumberFormat="1" applyFont="1" applyFill="1" applyBorder="1" applyAlignment="1" applyProtection="1">
      <alignment horizontal="center" vertical="center" shrinkToFit="1"/>
      <protection hidden="1"/>
    </xf>
    <xf numFmtId="1" fontId="28" fillId="13" borderId="56" xfId="18" applyNumberFormat="1" applyFont="1" applyFill="1" applyBorder="1" applyAlignment="1" applyProtection="1">
      <alignment horizontal="center" vertical="center" shrinkToFit="1"/>
      <protection hidden="1"/>
    </xf>
    <xf numFmtId="0" fontId="28" fillId="13" borderId="65" xfId="18" applyFont="1" applyFill="1" applyBorder="1" applyAlignment="1" applyProtection="1">
      <alignment horizontal="right" vertical="center" wrapText="1" shrinkToFit="1"/>
      <protection hidden="1"/>
    </xf>
    <xf numFmtId="0" fontId="28" fillId="13" borderId="66" xfId="18" applyFont="1" applyFill="1" applyBorder="1" applyAlignment="1" applyProtection="1">
      <alignment horizontal="right" vertical="center" wrapText="1" shrinkToFit="1"/>
      <protection hidden="1"/>
    </xf>
    <xf numFmtId="0" fontId="28" fillId="13" borderId="75" xfId="18" applyFont="1" applyFill="1" applyBorder="1" applyAlignment="1" applyProtection="1">
      <alignment horizontal="right" vertical="center" wrapText="1" shrinkToFit="1"/>
      <protection hidden="1"/>
    </xf>
    <xf numFmtId="0" fontId="51" fillId="3" borderId="54" xfId="18" applyFont="1" applyFill="1" applyBorder="1" applyAlignment="1" applyProtection="1">
      <alignment horizontal="center" vertical="center" wrapText="1"/>
      <protection locked="0"/>
    </xf>
    <xf numFmtId="0" fontId="51" fillId="3" borderId="30" xfId="18" applyFont="1" applyFill="1" applyBorder="1" applyAlignment="1" applyProtection="1">
      <alignment horizontal="center" vertical="center" wrapText="1"/>
      <protection locked="0"/>
    </xf>
    <xf numFmtId="0" fontId="219" fillId="3" borderId="70" xfId="18" applyFont="1" applyFill="1" applyBorder="1" applyAlignment="1" applyProtection="1">
      <alignment horizontal="center" vertical="center" wrapText="1"/>
      <protection locked="0"/>
    </xf>
    <xf numFmtId="0" fontId="219" fillId="3" borderId="1" xfId="18" applyFont="1" applyFill="1" applyBorder="1" applyAlignment="1" applyProtection="1">
      <alignment horizontal="center" vertical="center" wrapText="1"/>
      <protection locked="0"/>
    </xf>
    <xf numFmtId="0" fontId="219" fillId="3" borderId="44" xfId="18" applyFont="1" applyFill="1" applyBorder="1" applyAlignment="1" applyProtection="1">
      <alignment horizontal="center" vertical="center" wrapText="1"/>
      <protection locked="0"/>
    </xf>
    <xf numFmtId="0" fontId="219" fillId="3" borderId="15" xfId="18" applyFont="1" applyFill="1" applyBorder="1" applyAlignment="1" applyProtection="1">
      <alignment horizontal="center" vertical="center" wrapText="1"/>
      <protection locked="0"/>
    </xf>
    <xf numFmtId="0" fontId="219" fillId="3" borderId="0" xfId="18" applyFont="1" applyFill="1" applyAlignment="1" applyProtection="1">
      <alignment horizontal="center" vertical="center" wrapText="1"/>
      <protection locked="0"/>
    </xf>
    <xf numFmtId="0" fontId="219" fillId="3" borderId="16" xfId="18" applyFont="1" applyFill="1" applyBorder="1" applyAlignment="1" applyProtection="1">
      <alignment horizontal="center" vertical="center" wrapText="1"/>
      <protection locked="0"/>
    </xf>
    <xf numFmtId="0" fontId="219" fillId="3" borderId="55" xfId="18" applyFont="1" applyFill="1" applyBorder="1" applyAlignment="1" applyProtection="1">
      <alignment horizontal="center" vertical="center" wrapText="1"/>
      <protection locked="0"/>
    </xf>
    <xf numFmtId="0" fontId="219" fillId="3" borderId="36" xfId="18" applyFont="1" applyFill="1" applyBorder="1" applyAlignment="1" applyProtection="1">
      <alignment horizontal="center" vertical="center" wrapText="1"/>
      <protection locked="0"/>
    </xf>
    <xf numFmtId="0" fontId="219" fillId="3" borderId="56" xfId="18" applyFont="1" applyFill="1" applyBorder="1" applyAlignment="1" applyProtection="1">
      <alignment horizontal="center" vertical="center" wrapText="1"/>
      <protection locked="0"/>
    </xf>
    <xf numFmtId="0" fontId="28" fillId="13" borderId="15" xfId="18" applyFont="1" applyFill="1" applyBorder="1" applyAlignment="1" applyProtection="1">
      <alignment horizontal="right" vertical="center" wrapText="1" shrinkToFit="1"/>
      <protection hidden="1"/>
    </xf>
    <xf numFmtId="0" fontId="28" fillId="13" borderId="4" xfId="18" applyFont="1" applyFill="1" applyBorder="1" applyAlignment="1" applyProtection="1">
      <alignment horizontal="right" vertical="center" wrapText="1" shrinkToFit="1"/>
      <protection hidden="1"/>
    </xf>
    <xf numFmtId="0" fontId="28" fillId="13" borderId="34" xfId="18" applyFont="1" applyFill="1" applyBorder="1" applyAlignment="1" applyProtection="1">
      <alignment horizontal="right" vertical="center" wrapText="1" shrinkToFit="1"/>
      <protection hidden="1"/>
    </xf>
    <xf numFmtId="0" fontId="28" fillId="13" borderId="39" xfId="18" applyFont="1" applyFill="1" applyBorder="1" applyAlignment="1" applyProtection="1">
      <alignment horizontal="right" vertical="center" wrapText="1" shrinkToFit="1"/>
      <protection hidden="1"/>
    </xf>
    <xf numFmtId="0" fontId="28" fillId="13" borderId="25" xfId="18" applyFont="1" applyFill="1" applyBorder="1" applyAlignment="1" applyProtection="1">
      <alignment horizontal="right" vertical="center" wrapText="1" shrinkToFit="1"/>
      <protection hidden="1"/>
    </xf>
    <xf numFmtId="1" fontId="28" fillId="13" borderId="48" xfId="18" applyNumberFormat="1" applyFont="1" applyFill="1" applyBorder="1" applyAlignment="1">
      <alignment horizontal="right" vertical="center" wrapText="1" shrinkToFit="1"/>
    </xf>
    <xf numFmtId="1" fontId="28" fillId="13" borderId="33" xfId="18" applyNumberFormat="1" applyFont="1" applyFill="1" applyBorder="1" applyAlignment="1">
      <alignment horizontal="right" vertical="center" wrapText="1" shrinkToFit="1"/>
    </xf>
    <xf numFmtId="1" fontId="28" fillId="13" borderId="45" xfId="18" applyNumberFormat="1" applyFont="1" applyFill="1" applyBorder="1" applyAlignment="1" applyProtection="1">
      <alignment horizontal="center" vertical="center" shrinkToFit="1"/>
      <protection hidden="1"/>
    </xf>
    <xf numFmtId="1" fontId="28" fillId="13" borderId="50" xfId="18" applyNumberFormat="1" applyFont="1" applyFill="1" applyBorder="1" applyAlignment="1" applyProtection="1">
      <alignment horizontal="center" vertical="center" shrinkToFit="1"/>
      <protection hidden="1"/>
    </xf>
    <xf numFmtId="0" fontId="47" fillId="3" borderId="55" xfId="18" applyFont="1" applyFill="1" applyBorder="1" applyAlignment="1" applyProtection="1">
      <alignment horizontal="center" vertical="center" wrapText="1" shrinkToFit="1"/>
      <protection hidden="1"/>
    </xf>
    <xf numFmtId="0" fontId="47" fillId="3" borderId="36" xfId="18" applyFont="1" applyFill="1" applyBorder="1" applyAlignment="1" applyProtection="1">
      <alignment horizontal="center" vertical="center" wrapText="1" shrinkToFit="1"/>
      <protection hidden="1"/>
    </xf>
    <xf numFmtId="0" fontId="47" fillId="3" borderId="56" xfId="18" applyFont="1" applyFill="1" applyBorder="1" applyAlignment="1" applyProtection="1">
      <alignment horizontal="center" vertical="center" wrapText="1" shrinkToFit="1"/>
      <protection hidden="1"/>
    </xf>
    <xf numFmtId="0" fontId="4" fillId="3" borderId="15" xfId="18" applyFont="1" applyFill="1" applyBorder="1" applyAlignment="1" applyProtection="1">
      <alignment horizontal="center" vertical="center"/>
      <protection hidden="1"/>
    </xf>
    <xf numFmtId="0" fontId="4" fillId="3" borderId="0" xfId="18" applyFont="1" applyFill="1" applyAlignment="1" applyProtection="1">
      <alignment horizontal="center" vertical="center"/>
      <protection hidden="1"/>
    </xf>
    <xf numFmtId="0" fontId="4" fillId="3" borderId="55" xfId="18" applyFont="1" applyFill="1" applyBorder="1" applyAlignment="1" applyProtection="1">
      <alignment horizontal="center" vertical="center"/>
      <protection hidden="1"/>
    </xf>
    <xf numFmtId="0" fontId="4" fillId="3" borderId="36" xfId="18" applyFont="1" applyFill="1" applyBorder="1" applyAlignment="1" applyProtection="1">
      <alignment horizontal="center" vertical="center"/>
      <protection hidden="1"/>
    </xf>
    <xf numFmtId="49" fontId="12" fillId="13" borderId="15" xfId="18" applyNumberFormat="1" applyFont="1" applyFill="1" applyBorder="1" applyAlignment="1" applyProtection="1">
      <alignment horizontal="left" vertical="center"/>
      <protection hidden="1"/>
    </xf>
    <xf numFmtId="49" fontId="12" fillId="13" borderId="0" xfId="18" applyNumberFormat="1" applyFont="1" applyFill="1" applyAlignment="1" applyProtection="1">
      <alignment horizontal="left" vertical="center"/>
      <protection hidden="1"/>
    </xf>
    <xf numFmtId="49" fontId="12" fillId="13" borderId="16" xfId="18" applyNumberFormat="1" applyFont="1" applyFill="1" applyBorder="1" applyAlignment="1" applyProtection="1">
      <alignment horizontal="left" vertical="center"/>
      <protection hidden="1"/>
    </xf>
    <xf numFmtId="0" fontId="40" fillId="13" borderId="5" xfId="18" applyFont="1" applyFill="1" applyBorder="1" applyAlignment="1" applyProtection="1">
      <alignment horizontal="left" vertical="center"/>
      <protection hidden="1"/>
    </xf>
    <xf numFmtId="0" fontId="40" fillId="13" borderId="28" xfId="18" applyFont="1" applyFill="1" applyBorder="1" applyAlignment="1" applyProtection="1">
      <alignment horizontal="left" vertical="center"/>
      <protection hidden="1"/>
    </xf>
    <xf numFmtId="0" fontId="13" fillId="13" borderId="48" xfId="18" applyFont="1" applyFill="1" applyBorder="1" applyAlignment="1" applyProtection="1">
      <alignment horizontal="center" vertical="center"/>
      <protection hidden="1"/>
    </xf>
    <xf numFmtId="0" fontId="13" fillId="13" borderId="49" xfId="18" applyFont="1" applyFill="1" applyBorder="1" applyAlignment="1" applyProtection="1">
      <alignment horizontal="center" vertical="center"/>
      <protection hidden="1"/>
    </xf>
    <xf numFmtId="0" fontId="13" fillId="13" borderId="50" xfId="18" applyFont="1" applyFill="1" applyBorder="1" applyAlignment="1" applyProtection="1">
      <alignment horizontal="center" vertical="center"/>
      <protection hidden="1"/>
    </xf>
    <xf numFmtId="0" fontId="28" fillId="13" borderId="47" xfId="18" applyFont="1" applyFill="1" applyBorder="1" applyAlignment="1" applyProtection="1">
      <alignment horizontal="right" vertical="center" wrapText="1" shrinkToFit="1"/>
      <protection hidden="1"/>
    </xf>
    <xf numFmtId="0" fontId="28" fillId="13" borderId="11" xfId="18" applyFont="1" applyFill="1" applyBorder="1" applyAlignment="1" applyProtection="1">
      <alignment horizontal="right" vertical="center" wrapText="1" shrinkToFit="1"/>
      <protection hidden="1"/>
    </xf>
    <xf numFmtId="0" fontId="28" fillId="13" borderId="6" xfId="18" applyFont="1" applyFill="1" applyBorder="1" applyAlignment="1" applyProtection="1">
      <alignment horizontal="right" vertical="center" wrapText="1" shrinkToFit="1"/>
      <protection hidden="1"/>
    </xf>
    <xf numFmtId="167" fontId="28" fillId="13" borderId="71" xfId="18" applyNumberFormat="1" applyFont="1" applyFill="1" applyBorder="1" applyAlignment="1" applyProtection="1">
      <alignment horizontal="center" vertical="center" wrapText="1" shrinkToFit="1"/>
      <protection hidden="1"/>
    </xf>
    <xf numFmtId="167" fontId="28" fillId="13" borderId="56" xfId="18" applyNumberFormat="1" applyFont="1" applyFill="1" applyBorder="1" applyAlignment="1" applyProtection="1">
      <alignment horizontal="center" vertical="center" wrapText="1" shrinkToFit="1"/>
      <protection hidden="1"/>
    </xf>
    <xf numFmtId="0" fontId="52" fillId="0" borderId="15" xfId="18" applyFont="1" applyBorder="1" applyAlignment="1" applyProtection="1">
      <alignment horizontal="center" vertical="center" wrapText="1" shrinkToFit="1"/>
      <protection hidden="1"/>
    </xf>
    <xf numFmtId="0" fontId="52" fillId="0" borderId="0" xfId="18" applyFont="1" applyAlignment="1" applyProtection="1">
      <alignment horizontal="center" vertical="center" wrapText="1" shrinkToFit="1"/>
      <protection hidden="1"/>
    </xf>
    <xf numFmtId="0" fontId="52" fillId="0" borderId="16" xfId="18" applyFont="1" applyBorder="1" applyAlignment="1" applyProtection="1">
      <alignment horizontal="center" vertical="center" wrapText="1" shrinkToFit="1"/>
      <protection hidden="1"/>
    </xf>
    <xf numFmtId="0" fontId="51" fillId="13" borderId="58" xfId="18" applyFont="1" applyFill="1" applyBorder="1" applyAlignment="1" applyProtection="1">
      <alignment horizontal="right" vertical="center" wrapText="1"/>
      <protection hidden="1"/>
    </xf>
    <xf numFmtId="0" fontId="51" fillId="13" borderId="17" xfId="18" applyFont="1" applyFill="1" applyBorder="1" applyAlignment="1" applyProtection="1">
      <alignment horizontal="right" vertical="center" wrapText="1"/>
      <protection hidden="1"/>
    </xf>
    <xf numFmtId="0" fontId="51" fillId="13" borderId="19" xfId="18" applyFont="1" applyFill="1" applyBorder="1" applyAlignment="1" applyProtection="1">
      <alignment horizontal="right" vertical="center" wrapText="1"/>
      <protection hidden="1"/>
    </xf>
    <xf numFmtId="0" fontId="51" fillId="13" borderId="18" xfId="18" applyFont="1" applyFill="1" applyBorder="1" applyAlignment="1" applyProtection="1">
      <alignment horizontal="right" vertical="center" wrapText="1"/>
      <protection hidden="1"/>
    </xf>
    <xf numFmtId="14" fontId="22" fillId="13" borderId="21" xfId="18" applyNumberFormat="1" applyFont="1" applyFill="1" applyBorder="1" applyAlignment="1" applyProtection="1">
      <alignment horizontal="center" vertical="center" wrapText="1" shrinkToFit="1"/>
      <protection hidden="1"/>
    </xf>
    <xf numFmtId="14" fontId="22" fillId="0" borderId="21" xfId="18" applyNumberFormat="1" applyFont="1" applyBorder="1" applyAlignment="1" applyProtection="1">
      <alignment horizontal="center" vertical="center" wrapText="1" shrinkToFit="1"/>
      <protection locked="0" hidden="1"/>
    </xf>
    <xf numFmtId="0" fontId="22" fillId="0" borderId="21" xfId="18" applyFont="1" applyBorder="1" applyAlignment="1" applyProtection="1">
      <alignment horizontal="center" vertical="center" wrapText="1" shrinkToFit="1"/>
      <protection locked="0" hidden="1"/>
    </xf>
    <xf numFmtId="0" fontId="22" fillId="0" borderId="31" xfId="18" applyFont="1" applyBorder="1" applyAlignment="1" applyProtection="1">
      <alignment horizontal="center" vertical="center" wrapText="1" shrinkToFit="1"/>
      <protection locked="0" hidden="1"/>
    </xf>
    <xf numFmtId="167" fontId="12" fillId="3" borderId="34" xfId="18" applyNumberFormat="1" applyFont="1" applyFill="1" applyBorder="1" applyAlignment="1" applyProtection="1">
      <alignment horizontal="center" vertical="center" wrapText="1" shrinkToFit="1"/>
      <protection locked="0"/>
    </xf>
    <xf numFmtId="167" fontId="12" fillId="3" borderId="51" xfId="18" applyNumberFormat="1" applyFont="1" applyFill="1" applyBorder="1" applyAlignment="1" applyProtection="1">
      <alignment horizontal="center" vertical="center" wrapText="1" shrinkToFit="1"/>
      <protection locked="0"/>
    </xf>
    <xf numFmtId="0" fontId="28" fillId="13" borderId="12" xfId="18" applyFont="1" applyFill="1" applyBorder="1" applyAlignment="1" applyProtection="1">
      <alignment horizontal="right" vertical="center" wrapText="1" shrinkToFit="1"/>
      <protection hidden="1"/>
    </xf>
    <xf numFmtId="0" fontId="28" fillId="13" borderId="74" xfId="18" applyFont="1" applyFill="1" applyBorder="1" applyAlignment="1" applyProtection="1">
      <alignment horizontal="right" vertical="center" wrapText="1" shrinkToFit="1"/>
      <protection hidden="1"/>
    </xf>
    <xf numFmtId="0" fontId="28" fillId="13" borderId="46" xfId="18" applyFont="1" applyFill="1" applyBorder="1" applyAlignment="1" applyProtection="1">
      <alignment horizontal="right" vertical="center" wrapText="1" shrinkToFit="1"/>
      <protection hidden="1"/>
    </xf>
    <xf numFmtId="0" fontId="28" fillId="13" borderId="5" xfId="18" applyFont="1" applyFill="1" applyBorder="1" applyAlignment="1" applyProtection="1">
      <alignment horizontal="right" vertical="center" wrapText="1" shrinkToFit="1"/>
      <protection hidden="1"/>
    </xf>
    <xf numFmtId="1" fontId="28" fillId="6" borderId="54" xfId="18" applyNumberFormat="1" applyFont="1" applyFill="1" applyBorder="1" applyAlignment="1" applyProtection="1">
      <alignment horizontal="center" vertical="center" wrapText="1" shrinkToFit="1"/>
      <protection locked="0"/>
    </xf>
    <xf numFmtId="1" fontId="28" fillId="6" borderId="30" xfId="18" applyNumberFormat="1" applyFont="1" applyFill="1" applyBorder="1" applyAlignment="1" applyProtection="1">
      <alignment horizontal="center" vertical="center" wrapText="1" shrinkToFit="1"/>
      <protection locked="0"/>
    </xf>
    <xf numFmtId="0" fontId="28" fillId="13" borderId="48" xfId="18" applyFont="1" applyFill="1" applyBorder="1" applyAlignment="1" applyProtection="1">
      <alignment horizontal="right" vertical="center" wrapText="1" shrinkToFit="1"/>
      <protection hidden="1"/>
    </xf>
    <xf numFmtId="0" fontId="28" fillId="13" borderId="33" xfId="18" applyFont="1" applyFill="1" applyBorder="1" applyAlignment="1" applyProtection="1">
      <alignment horizontal="right" vertical="center" wrapText="1" shrinkToFit="1"/>
      <protection hidden="1"/>
    </xf>
    <xf numFmtId="0" fontId="28" fillId="13" borderId="49" xfId="18" applyFont="1" applyFill="1" applyBorder="1" applyAlignment="1" applyProtection="1">
      <alignment horizontal="right" vertical="center" wrapText="1" shrinkToFit="1"/>
      <protection hidden="1"/>
    </xf>
    <xf numFmtId="167" fontId="28" fillId="13" borderId="45" xfId="18" applyNumberFormat="1" applyFont="1" applyFill="1" applyBorder="1" applyAlignment="1" applyProtection="1">
      <alignment horizontal="center" vertical="center" wrapText="1" shrinkToFit="1"/>
      <protection hidden="1"/>
    </xf>
    <xf numFmtId="167" fontId="28" fillId="13" borderId="50" xfId="18" applyNumberFormat="1" applyFont="1" applyFill="1" applyBorder="1" applyAlignment="1" applyProtection="1">
      <alignment horizontal="center" vertical="center" wrapText="1" shrinkToFit="1"/>
      <protection hidden="1"/>
    </xf>
    <xf numFmtId="0" fontId="46" fillId="13" borderId="48" xfId="18" applyFont="1" applyFill="1" applyBorder="1" applyAlignment="1" applyProtection="1">
      <alignment horizontal="center" vertical="center" wrapText="1" shrinkToFit="1"/>
      <protection hidden="1"/>
    </xf>
    <xf numFmtId="0" fontId="46" fillId="13" borderId="49" xfId="18" applyFont="1" applyFill="1" applyBorder="1" applyAlignment="1" applyProtection="1">
      <alignment horizontal="center" vertical="center" wrapText="1" shrinkToFit="1"/>
      <protection hidden="1"/>
    </xf>
    <xf numFmtId="0" fontId="46" fillId="13" borderId="50" xfId="18" applyFont="1" applyFill="1" applyBorder="1" applyAlignment="1" applyProtection="1">
      <alignment horizontal="center" vertical="center" wrapText="1" shrinkToFit="1"/>
      <protection hidden="1"/>
    </xf>
    <xf numFmtId="167" fontId="11" fillId="13" borderId="0" xfId="18" applyNumberFormat="1" applyFont="1" applyFill="1" applyAlignment="1" applyProtection="1">
      <alignment horizontal="center" vertical="center" wrapText="1" shrinkToFit="1"/>
      <protection hidden="1"/>
    </xf>
    <xf numFmtId="167" fontId="11" fillId="13" borderId="13" xfId="18" applyNumberFormat="1" applyFont="1" applyFill="1" applyBorder="1" applyAlignment="1" applyProtection="1">
      <alignment horizontal="center" vertical="center" wrapText="1" shrinkToFit="1"/>
      <protection hidden="1"/>
    </xf>
    <xf numFmtId="167" fontId="11" fillId="13" borderId="16" xfId="18" applyNumberFormat="1" applyFont="1" applyFill="1" applyBorder="1" applyAlignment="1" applyProtection="1">
      <alignment horizontal="center" vertical="center" wrapText="1" shrinkToFit="1"/>
      <protection hidden="1"/>
    </xf>
    <xf numFmtId="167" fontId="11" fillId="13" borderId="2" xfId="18" applyNumberFormat="1" applyFont="1" applyFill="1" applyBorder="1" applyAlignment="1" applyProtection="1">
      <alignment horizontal="center" vertical="center" wrapText="1" shrinkToFit="1"/>
      <protection hidden="1"/>
    </xf>
    <xf numFmtId="167" fontId="11" fillId="13" borderId="41" xfId="18" applyNumberFormat="1" applyFont="1" applyFill="1" applyBorder="1" applyAlignment="1" applyProtection="1">
      <alignment horizontal="center" vertical="center" wrapText="1" shrinkToFit="1"/>
      <protection hidden="1"/>
    </xf>
    <xf numFmtId="167" fontId="13" fillId="13" borderId="46" xfId="18" applyNumberFormat="1" applyFont="1" applyFill="1" applyBorder="1" applyAlignment="1" applyProtection="1">
      <alignment horizontal="center" vertical="center" wrapText="1" shrinkToFit="1"/>
      <protection hidden="1"/>
    </xf>
    <xf numFmtId="167" fontId="13" fillId="13" borderId="2" xfId="18" applyNumberFormat="1" applyFont="1" applyFill="1" applyBorder="1" applyAlignment="1" applyProtection="1">
      <alignment horizontal="center" vertical="center" wrapText="1" shrinkToFit="1"/>
      <protection hidden="1"/>
    </xf>
    <xf numFmtId="167" fontId="13" fillId="13" borderId="49" xfId="18" applyNumberFormat="1" applyFont="1" applyFill="1" applyBorder="1" applyAlignment="1" applyProtection="1">
      <alignment horizontal="center" vertical="center" wrapText="1" shrinkToFit="1"/>
      <protection hidden="1"/>
    </xf>
    <xf numFmtId="0" fontId="42" fillId="13" borderId="65" xfId="18" applyFont="1" applyFill="1" applyBorder="1" applyAlignment="1" applyProtection="1">
      <alignment horizontal="center" vertical="center" wrapText="1" shrinkToFit="1"/>
      <protection hidden="1"/>
    </xf>
    <xf numFmtId="0" fontId="42" fillId="13" borderId="66" xfId="18" applyFont="1" applyFill="1" applyBorder="1" applyAlignment="1" applyProtection="1">
      <alignment horizontal="center" vertical="center" wrapText="1" shrinkToFit="1"/>
      <protection hidden="1"/>
    </xf>
    <xf numFmtId="0" fontId="42" fillId="13" borderId="67" xfId="18" applyFont="1" applyFill="1" applyBorder="1" applyAlignment="1" applyProtection="1">
      <alignment horizontal="center" vertical="center" wrapText="1" shrinkToFit="1"/>
      <protection hidden="1"/>
    </xf>
    <xf numFmtId="0" fontId="11" fillId="3" borderId="26" xfId="18" applyFont="1" applyFill="1" applyBorder="1" applyAlignment="1" applyProtection="1">
      <alignment horizontal="center" vertical="center" textRotation="90"/>
      <protection hidden="1"/>
    </xf>
    <xf numFmtId="0" fontId="11" fillId="3" borderId="10" xfId="18" applyFont="1" applyFill="1" applyBorder="1" applyAlignment="1" applyProtection="1">
      <alignment horizontal="center" vertical="center" textRotation="90"/>
      <protection hidden="1"/>
    </xf>
    <xf numFmtId="0" fontId="11" fillId="3" borderId="28" xfId="18" applyFont="1" applyFill="1" applyBorder="1" applyAlignment="1" applyProtection="1">
      <alignment horizontal="center" vertical="center" textRotation="90"/>
      <protection hidden="1"/>
    </xf>
    <xf numFmtId="0" fontId="11" fillId="0" borderId="26" xfId="18" applyFont="1" applyBorder="1" applyAlignment="1" applyProtection="1">
      <alignment horizontal="center" vertical="center" textRotation="90" wrapText="1"/>
      <protection locked="0"/>
    </xf>
    <xf numFmtId="0" fontId="11" fillId="0" borderId="10" xfId="18" applyFont="1" applyBorder="1" applyAlignment="1" applyProtection="1">
      <alignment horizontal="center" vertical="center" textRotation="90" wrapText="1"/>
      <protection locked="0"/>
    </xf>
    <xf numFmtId="0" fontId="11" fillId="0" borderId="62" xfId="18" applyFont="1" applyBorder="1" applyAlignment="1" applyProtection="1">
      <alignment horizontal="center" vertical="center" textRotation="90" wrapText="1"/>
      <protection locked="0"/>
    </xf>
    <xf numFmtId="0" fontId="37" fillId="13" borderId="43" xfId="18" applyFont="1" applyFill="1" applyBorder="1" applyAlignment="1" applyProtection="1">
      <alignment horizontal="center" vertical="center" textRotation="90" wrapText="1"/>
      <protection hidden="1"/>
    </xf>
    <xf numFmtId="0" fontId="37" fillId="13" borderId="69" xfId="18" applyFont="1" applyFill="1" applyBorder="1" applyAlignment="1" applyProtection="1">
      <alignment horizontal="center" vertical="center" textRotation="90" wrapText="1"/>
      <protection hidden="1"/>
    </xf>
    <xf numFmtId="0" fontId="37" fillId="13" borderId="30" xfId="18" applyFont="1" applyFill="1" applyBorder="1" applyAlignment="1" applyProtection="1">
      <alignment horizontal="center" vertical="center" textRotation="90" wrapText="1"/>
      <protection hidden="1"/>
    </xf>
    <xf numFmtId="2" fontId="11" fillId="13" borderId="42" xfId="18" applyNumberFormat="1" applyFont="1" applyFill="1" applyBorder="1" applyAlignment="1" applyProtection="1">
      <alignment horizontal="center" vertical="center" textRotation="90" wrapText="1"/>
      <protection hidden="1"/>
    </xf>
    <xf numFmtId="2" fontId="11" fillId="13" borderId="68" xfId="18" applyNumberFormat="1" applyFont="1" applyFill="1" applyBorder="1" applyAlignment="1" applyProtection="1">
      <alignment horizontal="center" vertical="center" textRotation="90" wrapText="1"/>
      <protection hidden="1"/>
    </xf>
    <xf numFmtId="2" fontId="11" fillId="13" borderId="37" xfId="18" applyNumberFormat="1" applyFont="1" applyFill="1" applyBorder="1" applyAlignment="1" applyProtection="1">
      <alignment horizontal="center" vertical="center" textRotation="90" wrapText="1"/>
      <protection hidden="1"/>
    </xf>
    <xf numFmtId="2" fontId="11" fillId="13" borderId="26" xfId="18" applyNumberFormat="1" applyFont="1" applyFill="1" applyBorder="1" applyAlignment="1" applyProtection="1">
      <alignment horizontal="center" vertical="center" textRotation="90" wrapText="1"/>
      <protection hidden="1"/>
    </xf>
    <xf numFmtId="2" fontId="11" fillId="13" borderId="10" xfId="18" applyNumberFormat="1" applyFont="1" applyFill="1" applyBorder="1" applyAlignment="1" applyProtection="1">
      <alignment horizontal="center" vertical="center" textRotation="90" wrapText="1"/>
      <protection hidden="1"/>
    </xf>
    <xf numFmtId="2" fontId="11" fillId="13" borderId="28" xfId="18" applyNumberFormat="1" applyFont="1" applyFill="1" applyBorder="1" applyAlignment="1" applyProtection="1">
      <alignment horizontal="center" vertical="center" textRotation="90" wrapText="1"/>
      <protection hidden="1"/>
    </xf>
    <xf numFmtId="0" fontId="11" fillId="13" borderId="43" xfId="18" applyFont="1" applyFill="1" applyBorder="1" applyAlignment="1" applyProtection="1">
      <alignment horizontal="center" vertical="center" textRotation="90" wrapText="1"/>
      <protection hidden="1"/>
    </xf>
    <xf numFmtId="0" fontId="11" fillId="13" borderId="69" xfId="18" applyFont="1" applyFill="1" applyBorder="1" applyAlignment="1" applyProtection="1">
      <alignment horizontal="center" vertical="center" textRotation="90" wrapText="1"/>
      <protection hidden="1"/>
    </xf>
    <xf numFmtId="0" fontId="11" fillId="13" borderId="30" xfId="18" applyFont="1" applyFill="1" applyBorder="1" applyAlignment="1" applyProtection="1">
      <alignment horizontal="center" vertical="center" textRotation="90" wrapText="1"/>
      <protection hidden="1"/>
    </xf>
    <xf numFmtId="0" fontId="11" fillId="13" borderId="42" xfId="18" applyFont="1" applyFill="1" applyBorder="1" applyAlignment="1" applyProtection="1">
      <alignment horizontal="center" vertical="center" textRotation="90" wrapText="1"/>
      <protection hidden="1"/>
    </xf>
    <xf numFmtId="0" fontId="11" fillId="13" borderId="68" xfId="18" applyFont="1" applyFill="1" applyBorder="1" applyAlignment="1" applyProtection="1">
      <alignment horizontal="center" vertical="center" textRotation="90" wrapText="1"/>
      <protection hidden="1"/>
    </xf>
    <xf numFmtId="0" fontId="11" fillId="13" borderId="37" xfId="18" applyFont="1" applyFill="1" applyBorder="1" applyAlignment="1" applyProtection="1">
      <alignment horizontal="center" vertical="center" textRotation="90" wrapText="1"/>
      <protection hidden="1"/>
    </xf>
    <xf numFmtId="0" fontId="11" fillId="0" borderId="43" xfId="18" applyFont="1" applyBorder="1" applyAlignment="1" applyProtection="1">
      <alignment horizontal="center" vertical="center" textRotation="90" wrapText="1"/>
      <protection locked="0"/>
    </xf>
    <xf numFmtId="0" fontId="11" fillId="0" borderId="69" xfId="18" applyFont="1" applyBorder="1" applyAlignment="1" applyProtection="1">
      <alignment horizontal="center" vertical="center" textRotation="90" wrapText="1"/>
      <protection locked="0"/>
    </xf>
    <xf numFmtId="0" fontId="11" fillId="0" borderId="63" xfId="18" applyFont="1" applyBorder="1" applyAlignment="1" applyProtection="1">
      <alignment horizontal="center" vertical="center" textRotation="90" wrapText="1"/>
      <protection locked="0"/>
    </xf>
    <xf numFmtId="0" fontId="16" fillId="13" borderId="46" xfId="18" applyFont="1" applyFill="1" applyBorder="1" applyAlignment="1" applyProtection="1">
      <alignment horizontal="center" vertical="center"/>
      <protection hidden="1"/>
    </xf>
    <xf numFmtId="0" fontId="16" fillId="13" borderId="41" xfId="18" applyFont="1" applyFill="1" applyBorder="1" applyAlignment="1" applyProtection="1">
      <alignment horizontal="center" vertical="center"/>
      <protection hidden="1"/>
    </xf>
    <xf numFmtId="0" fontId="11" fillId="13" borderId="46" xfId="18" applyFont="1" applyFill="1" applyBorder="1" applyAlignment="1" applyProtection="1">
      <alignment horizontal="center" vertical="center" wrapText="1"/>
      <protection hidden="1"/>
    </xf>
    <xf numFmtId="0" fontId="11" fillId="13" borderId="2" xfId="18" applyFont="1" applyFill="1" applyBorder="1" applyAlignment="1" applyProtection="1">
      <alignment horizontal="center" vertical="center" wrapText="1"/>
      <protection hidden="1"/>
    </xf>
    <xf numFmtId="0" fontId="11" fillId="13" borderId="49" xfId="18" applyFont="1" applyFill="1" applyBorder="1" applyAlignment="1" applyProtection="1">
      <alignment horizontal="center" vertical="center" wrapText="1"/>
      <protection hidden="1"/>
    </xf>
    <xf numFmtId="0" fontId="11" fillId="13" borderId="50" xfId="18" applyFont="1" applyFill="1" applyBorder="1" applyAlignment="1" applyProtection="1">
      <alignment horizontal="center" vertical="center" wrapText="1"/>
      <protection hidden="1"/>
    </xf>
    <xf numFmtId="0" fontId="11" fillId="13" borderId="12" xfId="18" applyFont="1" applyFill="1" applyBorder="1" applyAlignment="1" applyProtection="1">
      <alignment horizontal="center" vertical="center" wrapText="1"/>
      <protection hidden="1"/>
    </xf>
    <xf numFmtId="0" fontId="11" fillId="13" borderId="14" xfId="18" applyFont="1" applyFill="1" applyBorder="1" applyAlignment="1" applyProtection="1">
      <alignment horizontal="center" vertical="center" wrapText="1"/>
      <protection hidden="1"/>
    </xf>
    <xf numFmtId="0" fontId="11" fillId="13" borderId="15" xfId="18" applyFont="1" applyFill="1" applyBorder="1" applyAlignment="1" applyProtection="1">
      <alignment horizontal="center" vertical="center" wrapText="1"/>
      <protection hidden="1"/>
    </xf>
    <xf numFmtId="0" fontId="11" fillId="13" borderId="16" xfId="18" applyFont="1" applyFill="1" applyBorder="1" applyAlignment="1" applyProtection="1">
      <alignment horizontal="center" vertical="center" wrapText="1"/>
      <protection hidden="1"/>
    </xf>
    <xf numFmtId="0" fontId="11" fillId="13" borderId="55" xfId="18" applyFont="1" applyFill="1" applyBorder="1" applyAlignment="1" applyProtection="1">
      <alignment horizontal="center" vertical="center" wrapText="1"/>
      <protection hidden="1"/>
    </xf>
    <xf numFmtId="0" fontId="11" fillId="13" borderId="56" xfId="18" applyFont="1" applyFill="1" applyBorder="1" applyAlignment="1" applyProtection="1">
      <alignment horizontal="center" vertical="center" wrapText="1"/>
      <protection hidden="1"/>
    </xf>
    <xf numFmtId="2" fontId="16" fillId="13" borderId="26" xfId="18" applyNumberFormat="1" applyFont="1" applyFill="1" applyBorder="1" applyAlignment="1" applyProtection="1">
      <alignment horizontal="center" vertical="center" textRotation="90" wrapText="1"/>
      <protection hidden="1"/>
    </xf>
    <xf numFmtId="2" fontId="16" fillId="13" borderId="10" xfId="18" applyNumberFormat="1" applyFont="1" applyFill="1" applyBorder="1" applyAlignment="1" applyProtection="1">
      <alignment horizontal="center" vertical="center" textRotation="90" wrapText="1"/>
      <protection hidden="1"/>
    </xf>
    <xf numFmtId="2" fontId="16" fillId="13" borderId="28" xfId="18" applyNumberFormat="1" applyFont="1" applyFill="1" applyBorder="1" applyAlignment="1" applyProtection="1">
      <alignment horizontal="center" vertical="center" textRotation="90" wrapText="1"/>
      <protection hidden="1"/>
    </xf>
    <xf numFmtId="2" fontId="11" fillId="13" borderId="43" xfId="18" applyNumberFormat="1" applyFont="1" applyFill="1" applyBorder="1" applyAlignment="1" applyProtection="1">
      <alignment horizontal="center" vertical="center" textRotation="90" wrapText="1"/>
      <protection hidden="1"/>
    </xf>
    <xf numFmtId="2" fontId="11" fillId="13" borderId="69" xfId="18" applyNumberFormat="1" applyFont="1" applyFill="1" applyBorder="1" applyAlignment="1" applyProtection="1">
      <alignment horizontal="center" vertical="center" textRotation="90" wrapText="1"/>
      <protection hidden="1"/>
    </xf>
    <xf numFmtId="2" fontId="11" fillId="13" borderId="30" xfId="18" applyNumberFormat="1" applyFont="1" applyFill="1" applyBorder="1" applyAlignment="1" applyProtection="1">
      <alignment horizontal="center" vertical="center" textRotation="90" wrapText="1"/>
      <protection hidden="1"/>
    </xf>
    <xf numFmtId="0" fontId="55" fillId="3" borderId="12" xfId="18" applyFont="1" applyFill="1" applyBorder="1" applyAlignment="1" applyProtection="1">
      <alignment horizontal="center" vertical="center"/>
      <protection locked="0"/>
    </xf>
    <xf numFmtId="0" fontId="55" fillId="3" borderId="13" xfId="18" applyFont="1" applyFill="1" applyBorder="1" applyAlignment="1" applyProtection="1">
      <alignment horizontal="center" vertical="center"/>
      <protection locked="0"/>
    </xf>
    <xf numFmtId="0" fontId="55" fillId="3" borderId="14" xfId="18" applyFont="1" applyFill="1" applyBorder="1" applyAlignment="1" applyProtection="1">
      <alignment horizontal="center" vertical="center"/>
      <protection locked="0"/>
    </xf>
    <xf numFmtId="0" fontId="55" fillId="3" borderId="15" xfId="18" applyFont="1" applyFill="1" applyBorder="1" applyAlignment="1" applyProtection="1">
      <alignment horizontal="center" vertical="center"/>
      <protection locked="0"/>
    </xf>
    <xf numFmtId="0" fontId="55" fillId="3" borderId="0" xfId="18" applyFont="1" applyFill="1" applyAlignment="1" applyProtection="1">
      <alignment horizontal="center" vertical="center"/>
      <protection locked="0"/>
    </xf>
    <xf numFmtId="0" fontId="55" fillId="3" borderId="16" xfId="18" applyFont="1" applyFill="1" applyBorder="1" applyAlignment="1" applyProtection="1">
      <alignment horizontal="center" vertical="center"/>
      <protection locked="0"/>
    </xf>
    <xf numFmtId="0" fontId="55" fillId="3" borderId="55" xfId="18" applyFont="1" applyFill="1" applyBorder="1" applyAlignment="1" applyProtection="1">
      <alignment horizontal="center" vertical="center"/>
      <protection locked="0"/>
    </xf>
    <xf numFmtId="0" fontId="55" fillId="3" borderId="36" xfId="18" applyFont="1" applyFill="1" applyBorder="1" applyAlignment="1" applyProtection="1">
      <alignment horizontal="center" vertical="center"/>
      <protection locked="0"/>
    </xf>
    <xf numFmtId="0" fontId="55" fillId="3" borderId="56" xfId="18" applyFont="1" applyFill="1" applyBorder="1" applyAlignment="1" applyProtection="1">
      <alignment horizontal="center" vertical="center"/>
      <protection locked="0"/>
    </xf>
    <xf numFmtId="0" fontId="11" fillId="13" borderId="48" xfId="18" applyFont="1" applyFill="1" applyBorder="1" applyAlignment="1" applyProtection="1">
      <alignment horizontal="center" vertical="center" wrapText="1"/>
      <protection hidden="1"/>
    </xf>
    <xf numFmtId="1" fontId="11" fillId="13" borderId="42" xfId="18" applyNumberFormat="1" applyFont="1" applyFill="1" applyBorder="1" applyAlignment="1" applyProtection="1">
      <alignment horizontal="center" vertical="center" textRotation="90"/>
      <protection hidden="1"/>
    </xf>
    <xf numFmtId="0" fontId="24" fillId="13" borderId="68" xfId="18" applyFont="1" applyFill="1" applyBorder="1" applyAlignment="1" applyProtection="1">
      <alignment horizontal="center" vertical="center" textRotation="90"/>
      <protection hidden="1"/>
    </xf>
    <xf numFmtId="0" fontId="24" fillId="13" borderId="37" xfId="18" applyFont="1" applyFill="1" applyBorder="1" applyAlignment="1" applyProtection="1">
      <alignment horizontal="center" vertical="center" textRotation="90"/>
      <protection hidden="1"/>
    </xf>
    <xf numFmtId="1" fontId="11" fillId="13" borderId="26" xfId="18" applyNumberFormat="1" applyFont="1" applyFill="1" applyBorder="1" applyAlignment="1" applyProtection="1">
      <alignment horizontal="center" vertical="center" textRotation="90"/>
      <protection hidden="1"/>
    </xf>
    <xf numFmtId="0" fontId="24" fillId="13" borderId="10" xfId="18" applyFont="1" applyFill="1" applyBorder="1" applyAlignment="1" applyProtection="1">
      <alignment horizontal="center" vertical="center" textRotation="90"/>
      <protection hidden="1"/>
    </xf>
    <xf numFmtId="0" fontId="24" fillId="13" borderId="28" xfId="18" applyFont="1" applyFill="1" applyBorder="1" applyAlignment="1" applyProtection="1">
      <alignment horizontal="center" vertical="center" textRotation="90"/>
      <protection hidden="1"/>
    </xf>
    <xf numFmtId="1" fontId="11" fillId="13" borderId="43" xfId="18" applyNumberFormat="1" applyFont="1" applyFill="1" applyBorder="1" applyAlignment="1" applyProtection="1">
      <alignment horizontal="center" vertical="center" textRotation="90"/>
      <protection hidden="1"/>
    </xf>
    <xf numFmtId="0" fontId="24" fillId="13" borderId="69" xfId="18" applyFont="1" applyFill="1" applyBorder="1" applyAlignment="1" applyProtection="1">
      <alignment horizontal="center" vertical="center" textRotation="90"/>
      <protection hidden="1"/>
    </xf>
    <xf numFmtId="0" fontId="24" fillId="13" borderId="30" xfId="18" applyFont="1" applyFill="1" applyBorder="1" applyAlignment="1" applyProtection="1">
      <alignment horizontal="center" vertical="center" textRotation="90"/>
      <protection hidden="1"/>
    </xf>
    <xf numFmtId="0" fontId="11" fillId="13" borderId="70" xfId="18" applyFont="1" applyFill="1" applyBorder="1" applyAlignment="1" applyProtection="1">
      <alignment horizontal="center" vertical="center"/>
      <protection hidden="1"/>
    </xf>
    <xf numFmtId="0" fontId="24" fillId="13" borderId="1" xfId="18" applyFont="1" applyFill="1" applyBorder="1" applyAlignment="1" applyProtection="1">
      <alignment vertical="center"/>
      <protection hidden="1"/>
    </xf>
    <xf numFmtId="0" fontId="24" fillId="13" borderId="15" xfId="18" applyFont="1" applyFill="1" applyBorder="1" applyAlignment="1" applyProtection="1">
      <alignment vertical="center"/>
      <protection hidden="1"/>
    </xf>
    <xf numFmtId="0" fontId="24" fillId="13" borderId="0" xfId="18" applyFont="1" applyFill="1" applyAlignment="1" applyProtection="1">
      <alignment vertical="center"/>
      <protection hidden="1"/>
    </xf>
    <xf numFmtId="0" fontId="24" fillId="13" borderId="46" xfId="18" applyFont="1" applyFill="1" applyBorder="1" applyAlignment="1" applyProtection="1">
      <alignment vertical="center"/>
      <protection hidden="1"/>
    </xf>
    <xf numFmtId="0" fontId="24" fillId="13" borderId="2" xfId="18" applyFont="1" applyFill="1" applyBorder="1" applyAlignment="1" applyProtection="1">
      <alignment vertical="center"/>
      <protection hidden="1"/>
    </xf>
    <xf numFmtId="0" fontId="11" fillId="13" borderId="37" xfId="18" applyFont="1" applyFill="1" applyBorder="1" applyAlignment="1" applyProtection="1">
      <alignment horizontal="center" vertical="center" textRotation="90"/>
      <protection hidden="1"/>
    </xf>
    <xf numFmtId="0" fontId="22" fillId="13" borderId="19" xfId="18" applyFont="1" applyFill="1" applyBorder="1" applyAlignment="1" applyProtection="1">
      <alignment horizontal="center" vertical="center" textRotation="90"/>
      <protection hidden="1"/>
    </xf>
    <xf numFmtId="0" fontId="11" fillId="13" borderId="10" xfId="18" applyFont="1" applyFill="1" applyBorder="1" applyAlignment="1" applyProtection="1">
      <alignment horizontal="center" vertical="center" textRotation="90"/>
      <protection hidden="1"/>
    </xf>
    <xf numFmtId="0" fontId="11" fillId="13" borderId="28" xfId="18" applyFont="1" applyFill="1" applyBorder="1" applyAlignment="1" applyProtection="1">
      <alignment horizontal="center" vertical="center" textRotation="90"/>
      <protection hidden="1"/>
    </xf>
    <xf numFmtId="1" fontId="11" fillId="13" borderId="0" xfId="18" applyNumberFormat="1" applyFont="1" applyFill="1" applyAlignment="1" applyProtection="1">
      <alignment horizontal="center" vertical="center" textRotation="90"/>
      <protection hidden="1"/>
    </xf>
    <xf numFmtId="0" fontId="24" fillId="13" borderId="0" xfId="18" applyFont="1" applyFill="1" applyAlignment="1" applyProtection="1">
      <alignment horizontal="center" vertical="center" textRotation="90"/>
      <protection hidden="1"/>
    </xf>
    <xf numFmtId="0" fontId="24" fillId="13" borderId="2" xfId="18" applyFont="1" applyFill="1" applyBorder="1" applyAlignment="1" applyProtection="1">
      <alignment horizontal="center" vertical="center" textRotation="90"/>
      <protection hidden="1"/>
    </xf>
    <xf numFmtId="0" fontId="11" fillId="13" borderId="46" xfId="18" applyFont="1" applyFill="1" applyBorder="1" applyAlignment="1" applyProtection="1">
      <alignment horizontal="center" vertical="center"/>
      <protection hidden="1"/>
    </xf>
    <xf numFmtId="0" fontId="11" fillId="13" borderId="2" xfId="18" applyFont="1" applyFill="1" applyBorder="1" applyAlignment="1" applyProtection="1">
      <alignment horizontal="center" vertical="center"/>
      <protection hidden="1"/>
    </xf>
    <xf numFmtId="0" fontId="11" fillId="13" borderId="41" xfId="18" applyFont="1" applyFill="1" applyBorder="1" applyAlignment="1" applyProtection="1">
      <alignment horizontal="center" vertical="center"/>
      <protection hidden="1"/>
    </xf>
    <xf numFmtId="0" fontId="24" fillId="13" borderId="2" xfId="18" applyFont="1" applyFill="1" applyBorder="1" applyAlignment="1" applyProtection="1">
      <alignment horizontal="center" vertical="center"/>
      <protection hidden="1"/>
    </xf>
    <xf numFmtId="0" fontId="11" fillId="13" borderId="48" xfId="18" applyFont="1" applyFill="1" applyBorder="1" applyAlignment="1" applyProtection="1">
      <alignment horizontal="center" vertical="center"/>
      <protection hidden="1"/>
    </xf>
    <xf numFmtId="0" fontId="11" fillId="13" borderId="49" xfId="18" applyFont="1" applyFill="1" applyBorder="1" applyAlignment="1" applyProtection="1">
      <alignment horizontal="center" vertical="center"/>
      <protection hidden="1"/>
    </xf>
    <xf numFmtId="0" fontId="11" fillId="13" borderId="50" xfId="18" applyFont="1" applyFill="1" applyBorder="1" applyAlignment="1" applyProtection="1">
      <alignment horizontal="center" vertical="center"/>
      <protection hidden="1"/>
    </xf>
    <xf numFmtId="0" fontId="37" fillId="13" borderId="46" xfId="18" applyFont="1" applyFill="1" applyBorder="1" applyAlignment="1" applyProtection="1">
      <alignment horizontal="center" vertical="center"/>
      <protection hidden="1"/>
    </xf>
    <xf numFmtId="0" fontId="37" fillId="13" borderId="2" xfId="18" applyFont="1" applyFill="1" applyBorder="1" applyAlignment="1" applyProtection="1">
      <alignment horizontal="center" vertical="center"/>
      <protection hidden="1"/>
    </xf>
    <xf numFmtId="0" fontId="37" fillId="13" borderId="41" xfId="18" applyFont="1" applyFill="1" applyBorder="1" applyAlignment="1" applyProtection="1">
      <alignment horizontal="center" vertical="center"/>
      <protection hidden="1"/>
    </xf>
    <xf numFmtId="0" fontId="11" fillId="13" borderId="69" xfId="18" applyFont="1" applyFill="1" applyBorder="1" applyAlignment="1" applyProtection="1">
      <alignment horizontal="center" vertical="center" textRotation="90"/>
      <protection hidden="1"/>
    </xf>
    <xf numFmtId="0" fontId="11" fillId="13" borderId="30" xfId="18" applyFont="1" applyFill="1" applyBorder="1" applyAlignment="1" applyProtection="1">
      <alignment horizontal="center" vertical="center" textRotation="90"/>
      <protection hidden="1"/>
    </xf>
    <xf numFmtId="2" fontId="11" fillId="13" borderId="68" xfId="18" quotePrefix="1" applyNumberFormat="1" applyFont="1" applyFill="1" applyBorder="1" applyAlignment="1" applyProtection="1">
      <alignment horizontal="center" vertical="center" textRotation="90" wrapText="1"/>
      <protection hidden="1"/>
    </xf>
    <xf numFmtId="2" fontId="11" fillId="13" borderId="37" xfId="18" quotePrefix="1" applyNumberFormat="1" applyFont="1" applyFill="1" applyBorder="1" applyAlignment="1" applyProtection="1">
      <alignment horizontal="center" vertical="center" textRotation="90" wrapText="1"/>
      <protection hidden="1"/>
    </xf>
    <xf numFmtId="0" fontId="11" fillId="13" borderId="23" xfId="18" applyFont="1" applyFill="1" applyBorder="1" applyAlignment="1" applyProtection="1">
      <alignment horizontal="center" vertical="center" textRotation="90"/>
      <protection hidden="1"/>
    </xf>
    <xf numFmtId="0" fontId="11" fillId="13" borderId="59" xfId="18" applyFont="1" applyFill="1" applyBorder="1" applyAlignment="1" applyProtection="1">
      <alignment horizontal="center" vertical="center" textRotation="90"/>
      <protection hidden="1"/>
    </xf>
    <xf numFmtId="0" fontId="37" fillId="13" borderId="42" xfId="18" applyFont="1" applyFill="1" applyBorder="1" applyAlignment="1" applyProtection="1">
      <alignment horizontal="center" vertical="center" textRotation="90" wrapText="1"/>
      <protection hidden="1"/>
    </xf>
    <xf numFmtId="0" fontId="37" fillId="13" borderId="68" xfId="18" applyFont="1" applyFill="1" applyBorder="1" applyAlignment="1" applyProtection="1">
      <alignment horizontal="center" vertical="center" textRotation="90" wrapText="1"/>
      <protection hidden="1"/>
    </xf>
    <xf numFmtId="0" fontId="37" fillId="13" borderId="37" xfId="18" applyFont="1" applyFill="1" applyBorder="1" applyAlignment="1" applyProtection="1">
      <alignment horizontal="center" vertical="center" textRotation="90" wrapText="1"/>
      <protection hidden="1"/>
    </xf>
    <xf numFmtId="0" fontId="50" fillId="13" borderId="26" xfId="18" applyFont="1" applyFill="1" applyBorder="1" applyAlignment="1" applyProtection="1">
      <alignment horizontal="center" vertical="center" textRotation="90" wrapText="1"/>
      <protection hidden="1"/>
    </xf>
    <xf numFmtId="0" fontId="37" fillId="13" borderId="10" xfId="18" applyFont="1" applyFill="1" applyBorder="1" applyAlignment="1" applyProtection="1">
      <alignment horizontal="center" vertical="center" textRotation="90" wrapText="1"/>
      <protection hidden="1"/>
    </xf>
    <xf numFmtId="0" fontId="37" fillId="13" borderId="28" xfId="18" applyFont="1" applyFill="1" applyBorder="1" applyAlignment="1" applyProtection="1">
      <alignment horizontal="center" vertical="center" textRotation="90" wrapText="1"/>
      <protection hidden="1"/>
    </xf>
    <xf numFmtId="0" fontId="11" fillId="13" borderId="72" xfId="15" applyFont="1" applyFill="1" applyBorder="1" applyAlignment="1" applyProtection="1">
      <alignment horizontal="center" vertical="center" wrapText="1"/>
      <protection hidden="1"/>
    </xf>
    <xf numFmtId="0" fontId="11" fillId="13" borderId="28" xfId="15" applyFont="1" applyFill="1" applyBorder="1" applyAlignment="1" applyProtection="1">
      <alignment horizontal="center" vertical="center" wrapText="1"/>
      <protection hidden="1"/>
    </xf>
    <xf numFmtId="0" fontId="11" fillId="13" borderId="58" xfId="18" applyFont="1" applyFill="1" applyBorder="1" applyAlignment="1" applyProtection="1">
      <alignment horizontal="center" vertical="center" textRotation="90" wrapText="1"/>
      <protection hidden="1"/>
    </xf>
    <xf numFmtId="0" fontId="11" fillId="13" borderId="19" xfId="18" applyFont="1" applyFill="1" applyBorder="1" applyAlignment="1" applyProtection="1">
      <alignment horizontal="center" vertical="center" textRotation="90" wrapText="1"/>
      <protection hidden="1"/>
    </xf>
    <xf numFmtId="0" fontId="11" fillId="13" borderId="20" xfId="18" applyFont="1" applyFill="1" applyBorder="1" applyAlignment="1" applyProtection="1">
      <alignment horizontal="center" vertical="center" textRotation="90" wrapText="1"/>
      <protection hidden="1"/>
    </xf>
    <xf numFmtId="0" fontId="11" fillId="13" borderId="72" xfId="18" applyFont="1" applyFill="1" applyBorder="1" applyAlignment="1" applyProtection="1">
      <alignment horizontal="center" vertical="center" textRotation="90" wrapText="1"/>
      <protection hidden="1"/>
    </xf>
    <xf numFmtId="0" fontId="11" fillId="13" borderId="10" xfId="18" applyFont="1" applyFill="1" applyBorder="1" applyAlignment="1" applyProtection="1">
      <alignment horizontal="center" vertical="center" textRotation="90" wrapText="1"/>
      <protection hidden="1"/>
    </xf>
    <xf numFmtId="0" fontId="11" fillId="13" borderId="62" xfId="18" applyFont="1" applyFill="1" applyBorder="1" applyAlignment="1" applyProtection="1">
      <alignment horizontal="center" vertical="center" textRotation="90" wrapText="1"/>
      <protection hidden="1"/>
    </xf>
    <xf numFmtId="0" fontId="11" fillId="13" borderId="17" xfId="18" applyFont="1" applyFill="1" applyBorder="1" applyAlignment="1" applyProtection="1">
      <alignment horizontal="center" vertical="center" textRotation="90" wrapText="1"/>
      <protection hidden="1"/>
    </xf>
    <xf numFmtId="0" fontId="11" fillId="13" borderId="18" xfId="18" applyFont="1" applyFill="1" applyBorder="1" applyAlignment="1" applyProtection="1">
      <alignment horizontal="center" vertical="center" textRotation="90" wrapText="1"/>
      <protection hidden="1"/>
    </xf>
    <xf numFmtId="0" fontId="11" fillId="13" borderId="21" xfId="18" applyFont="1" applyFill="1" applyBorder="1" applyAlignment="1" applyProtection="1">
      <alignment horizontal="center" vertical="center" textRotation="90" wrapText="1"/>
      <protection hidden="1"/>
    </xf>
    <xf numFmtId="0" fontId="11" fillId="13" borderId="38" xfId="18" applyFont="1" applyFill="1" applyBorder="1" applyAlignment="1" applyProtection="1">
      <alignment horizontal="center" vertical="center" textRotation="90" wrapText="1"/>
      <protection hidden="1"/>
    </xf>
    <xf numFmtId="0" fontId="11" fillId="13" borderId="22" xfId="18" applyFont="1" applyFill="1" applyBorder="1" applyAlignment="1" applyProtection="1">
      <alignment horizontal="center" vertical="center" textRotation="90" wrapText="1"/>
      <protection hidden="1"/>
    </xf>
    <xf numFmtId="0" fontId="11" fillId="13" borderId="31" xfId="18" applyFont="1" applyFill="1" applyBorder="1" applyAlignment="1" applyProtection="1">
      <alignment horizontal="center" vertical="center" textRotation="90" wrapText="1"/>
      <protection hidden="1"/>
    </xf>
    <xf numFmtId="0" fontId="8" fillId="0" borderId="72" xfId="15" applyFont="1" applyBorder="1" applyAlignment="1" applyProtection="1">
      <alignment horizontal="center" vertical="center" wrapText="1"/>
      <protection locked="0"/>
    </xf>
    <xf numFmtId="0" fontId="8" fillId="0" borderId="28" xfId="15" applyFont="1" applyBorder="1" applyAlignment="1" applyProtection="1">
      <alignment horizontal="center" vertical="center" wrapText="1"/>
      <protection locked="0"/>
    </xf>
    <xf numFmtId="0" fontId="11" fillId="13" borderId="53" xfId="15" applyFont="1" applyFill="1" applyBorder="1" applyAlignment="1" applyProtection="1">
      <alignment horizontal="center" vertical="center" wrapText="1"/>
      <protection hidden="1"/>
    </xf>
    <xf numFmtId="0" fontId="11" fillId="13" borderId="13" xfId="15" applyFont="1" applyFill="1" applyBorder="1" applyAlignment="1" applyProtection="1">
      <alignment horizontal="center" vertical="center" wrapText="1"/>
      <protection hidden="1"/>
    </xf>
    <xf numFmtId="0" fontId="11" fillId="13" borderId="14" xfId="15" applyFont="1" applyFill="1" applyBorder="1" applyAlignment="1" applyProtection="1">
      <alignment horizontal="center" vertical="center" wrapText="1"/>
      <protection hidden="1"/>
    </xf>
    <xf numFmtId="0" fontId="11" fillId="13" borderId="9" xfId="15" applyFont="1" applyFill="1" applyBorder="1" applyAlignment="1" applyProtection="1">
      <alignment horizontal="center" vertical="center" wrapText="1"/>
      <protection hidden="1"/>
    </xf>
    <xf numFmtId="0" fontId="11" fillId="13" borderId="2" xfId="15" applyFont="1" applyFill="1" applyBorder="1" applyAlignment="1" applyProtection="1">
      <alignment horizontal="center" vertical="center" wrapText="1"/>
      <protection hidden="1"/>
    </xf>
    <xf numFmtId="0" fontId="11" fillId="13" borderId="41" xfId="15" applyFont="1" applyFill="1" applyBorder="1" applyAlignment="1" applyProtection="1">
      <alignment horizontal="center" vertical="center" wrapText="1"/>
      <protection hidden="1"/>
    </xf>
    <xf numFmtId="0" fontId="22" fillId="3" borderId="0" xfId="18" applyFont="1" applyFill="1" applyAlignment="1" applyProtection="1">
      <alignment horizontal="center" vertical="center"/>
      <protection locked="0"/>
    </xf>
    <xf numFmtId="0" fontId="22" fillId="3" borderId="2" xfId="18" applyFont="1" applyFill="1" applyBorder="1" applyAlignment="1" applyProtection="1">
      <alignment horizontal="center" vertical="center"/>
      <protection locked="0"/>
    </xf>
    <xf numFmtId="0" fontId="4" fillId="3" borderId="26" xfId="18" applyFont="1" applyFill="1" applyBorder="1" applyAlignment="1" applyProtection="1">
      <alignment horizontal="center" textRotation="90" wrapText="1"/>
      <protection hidden="1"/>
    </xf>
    <xf numFmtId="0" fontId="4" fillId="3" borderId="10" xfId="18" applyFont="1" applyFill="1" applyBorder="1" applyAlignment="1" applyProtection="1">
      <alignment horizontal="center" textRotation="90" wrapText="1"/>
      <protection hidden="1"/>
    </xf>
    <xf numFmtId="0" fontId="4" fillId="3" borderId="28" xfId="18" applyFont="1" applyFill="1" applyBorder="1" applyAlignment="1" applyProtection="1">
      <alignment horizontal="center" textRotation="90" wrapText="1"/>
      <protection hidden="1"/>
    </xf>
    <xf numFmtId="0" fontId="19" fillId="13" borderId="65" xfId="18" applyFont="1" applyFill="1" applyBorder="1" applyAlignment="1" applyProtection="1">
      <alignment horizontal="center" vertical="center"/>
      <protection hidden="1"/>
    </xf>
    <xf numFmtId="0" fontId="20" fillId="13" borderId="66" xfId="18" applyFont="1" applyFill="1" applyBorder="1" applyAlignment="1" applyProtection="1">
      <alignment horizontal="center" vertical="center"/>
      <protection hidden="1"/>
    </xf>
    <xf numFmtId="0" fontId="20" fillId="13" borderId="67"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20" fillId="13" borderId="66" xfId="18" applyFont="1" applyFill="1" applyBorder="1" applyAlignment="1" applyProtection="1">
      <alignment horizontal="center"/>
      <protection hidden="1"/>
    </xf>
    <xf numFmtId="0" fontId="20" fillId="13" borderId="67" xfId="18" applyFont="1" applyFill="1" applyBorder="1" applyAlignment="1" applyProtection="1">
      <alignment horizontal="center"/>
      <protection hidden="1"/>
    </xf>
    <xf numFmtId="0" fontId="19" fillId="13" borderId="65" xfId="18" applyFont="1" applyFill="1" applyBorder="1" applyAlignment="1">
      <alignment horizontal="center" vertical="center"/>
    </xf>
    <xf numFmtId="0" fontId="19" fillId="13" borderId="66" xfId="18" applyFont="1" applyFill="1" applyBorder="1" applyAlignment="1">
      <alignment horizontal="center" vertical="center"/>
    </xf>
    <xf numFmtId="0" fontId="11" fillId="13" borderId="65" xfId="18" applyFont="1" applyFill="1" applyBorder="1" applyAlignment="1" applyProtection="1">
      <alignment horizontal="center" vertical="center"/>
      <protection hidden="1"/>
    </xf>
    <xf numFmtId="0" fontId="11" fillId="13" borderId="66" xfId="18" applyFont="1" applyFill="1" applyBorder="1" applyAlignment="1" applyProtection="1">
      <alignment horizontal="center" vertical="center"/>
      <protection hidden="1"/>
    </xf>
    <xf numFmtId="0" fontId="11" fillId="13" borderId="67" xfId="18" applyFont="1" applyFill="1" applyBorder="1" applyAlignment="1" applyProtection="1">
      <alignment horizontal="center" vertical="center"/>
      <protection hidden="1"/>
    </xf>
    <xf numFmtId="0" fontId="55" fillId="3" borderId="13" xfId="15" applyFont="1" applyFill="1" applyBorder="1" applyAlignment="1" applyProtection="1">
      <alignment horizontal="center" vertical="center"/>
      <protection locked="0"/>
    </xf>
    <xf numFmtId="0" fontId="55" fillId="3" borderId="14" xfId="15" applyFont="1" applyFill="1" applyBorder="1" applyAlignment="1" applyProtection="1">
      <alignment horizontal="center" vertical="center"/>
      <protection locked="0"/>
    </xf>
    <xf numFmtId="0" fontId="55" fillId="3" borderId="0" xfId="15" applyFont="1" applyFill="1" applyAlignment="1" applyProtection="1">
      <alignment horizontal="center" vertical="center"/>
      <protection locked="0"/>
    </xf>
    <xf numFmtId="0" fontId="55" fillId="3" borderId="16" xfId="15" applyFont="1" applyFill="1" applyBorder="1" applyAlignment="1" applyProtection="1">
      <alignment horizontal="center" vertical="center"/>
      <protection locked="0"/>
    </xf>
    <xf numFmtId="0" fontId="55" fillId="3" borderId="36" xfId="15" applyFont="1" applyFill="1" applyBorder="1" applyAlignment="1" applyProtection="1">
      <alignment horizontal="center" vertical="center"/>
      <protection locked="0"/>
    </xf>
    <xf numFmtId="0" fontId="55" fillId="3" borderId="56" xfId="15" applyFont="1" applyFill="1" applyBorder="1" applyAlignment="1" applyProtection="1">
      <alignment horizontal="center" vertical="center"/>
      <protection locked="0"/>
    </xf>
    <xf numFmtId="0" fontId="11" fillId="13" borderId="13" xfId="18" applyFont="1" applyFill="1" applyBorder="1" applyAlignment="1" applyProtection="1">
      <alignment horizontal="center" vertical="center"/>
      <protection hidden="1"/>
    </xf>
    <xf numFmtId="0" fontId="11" fillId="13" borderId="14" xfId="18" applyFont="1" applyFill="1" applyBorder="1" applyAlignment="1" applyProtection="1">
      <alignment horizontal="center" vertical="center"/>
      <protection hidden="1"/>
    </xf>
    <xf numFmtId="0" fontId="16" fillId="13" borderId="48" xfId="18" applyFont="1" applyFill="1" applyBorder="1" applyAlignment="1" applyProtection="1">
      <alignment horizontal="center" vertical="center" shrinkToFit="1"/>
      <protection hidden="1"/>
    </xf>
    <xf numFmtId="0" fontId="16" fillId="13" borderId="49" xfId="18" applyFont="1" applyFill="1" applyBorder="1" applyAlignment="1" applyProtection="1">
      <alignment horizontal="center" vertical="center" shrinkToFit="1"/>
      <protection hidden="1"/>
    </xf>
    <xf numFmtId="0" fontId="16" fillId="13" borderId="50" xfId="18" applyFont="1" applyFill="1" applyBorder="1" applyAlignment="1" applyProtection="1">
      <alignment horizontal="center" vertical="center" shrinkToFit="1"/>
      <protection hidden="1"/>
    </xf>
    <xf numFmtId="0" fontId="11" fillId="13" borderId="71" xfId="15" applyFont="1" applyFill="1" applyBorder="1" applyAlignment="1" applyProtection="1">
      <alignment horizontal="center" vertical="center" wrapText="1"/>
      <protection hidden="1"/>
    </xf>
    <xf numFmtId="0" fontId="11" fillId="13" borderId="36" xfId="15" applyFont="1" applyFill="1" applyBorder="1" applyAlignment="1" applyProtection="1">
      <alignment horizontal="center" vertical="center" wrapText="1"/>
      <protection hidden="1"/>
    </xf>
    <xf numFmtId="0" fontId="11" fillId="13" borderId="56" xfId="15" applyFont="1" applyFill="1" applyBorder="1" applyAlignment="1" applyProtection="1">
      <alignment horizontal="center" vertical="center" wrapText="1"/>
      <protection hidden="1"/>
    </xf>
    <xf numFmtId="0" fontId="16" fillId="6" borderId="55" xfId="18" applyFont="1" applyFill="1" applyBorder="1" applyAlignment="1" applyProtection="1">
      <alignment horizontal="center" vertical="center"/>
      <protection locked="0"/>
    </xf>
    <xf numFmtId="0" fontId="16" fillId="6" borderId="36" xfId="18" applyFont="1" applyFill="1" applyBorder="1" applyAlignment="1" applyProtection="1">
      <alignment horizontal="center" vertical="center"/>
      <protection locked="0"/>
    </xf>
    <xf numFmtId="0" fontId="16" fillId="6" borderId="56" xfId="18" applyFont="1" applyFill="1" applyBorder="1" applyAlignment="1" applyProtection="1">
      <alignment horizontal="center" vertical="center"/>
      <protection locked="0"/>
    </xf>
    <xf numFmtId="0" fontId="11" fillId="0" borderId="15" xfId="18" applyFont="1" applyBorder="1" applyAlignment="1" applyProtection="1">
      <alignment horizontal="center" vertical="center"/>
      <protection hidden="1"/>
    </xf>
    <xf numFmtId="0" fontId="11" fillId="0" borderId="0" xfId="18" applyFont="1" applyAlignment="1" applyProtection="1">
      <alignment horizontal="center" vertical="center"/>
      <protection hidden="1"/>
    </xf>
    <xf numFmtId="0" fontId="11" fillId="0" borderId="55" xfId="18" applyFont="1" applyBorder="1" applyAlignment="1" applyProtection="1">
      <alignment horizontal="center" vertical="center"/>
      <protection hidden="1"/>
    </xf>
    <xf numFmtId="0" fontId="11" fillId="0" borderId="36" xfId="18" applyFont="1" applyBorder="1" applyAlignment="1" applyProtection="1">
      <alignment horizontal="center" vertical="center"/>
      <protection hidden="1"/>
    </xf>
    <xf numFmtId="0" fontId="19" fillId="13" borderId="12" xfId="18" applyFont="1" applyFill="1" applyBorder="1" applyAlignment="1" applyProtection="1">
      <alignment horizontal="center" vertical="center"/>
      <protection hidden="1"/>
    </xf>
    <xf numFmtId="0" fontId="19" fillId="13" borderId="13" xfId="18" applyFont="1" applyFill="1" applyBorder="1" applyAlignment="1" applyProtection="1">
      <alignment horizontal="center" vertical="center"/>
      <protection hidden="1"/>
    </xf>
    <xf numFmtId="0" fontId="19" fillId="13" borderId="14" xfId="18" applyFont="1" applyFill="1" applyBorder="1" applyAlignment="1" applyProtection="1">
      <alignment horizontal="center" vertical="center"/>
      <protection hidden="1"/>
    </xf>
    <xf numFmtId="0" fontId="19" fillId="13" borderId="55" xfId="18" applyFont="1" applyFill="1" applyBorder="1" applyAlignment="1" applyProtection="1">
      <alignment horizontal="center" vertical="center"/>
      <protection hidden="1"/>
    </xf>
    <xf numFmtId="0" fontId="19" fillId="13" borderId="36" xfId="18" applyFont="1" applyFill="1" applyBorder="1" applyAlignment="1" applyProtection="1">
      <alignment horizontal="center" vertical="center"/>
      <protection hidden="1"/>
    </xf>
    <xf numFmtId="0" fontId="19" fillId="13" borderId="56" xfId="18" applyFont="1" applyFill="1" applyBorder="1" applyAlignment="1" applyProtection="1">
      <alignment horizontal="center" vertical="center"/>
      <protection hidden="1"/>
    </xf>
    <xf numFmtId="0" fontId="21" fillId="13" borderId="12" xfId="18" applyFont="1" applyFill="1" applyBorder="1" applyAlignment="1" applyProtection="1">
      <alignment horizontal="center" vertical="center"/>
      <protection hidden="1"/>
    </xf>
    <xf numFmtId="0" fontId="21" fillId="13" borderId="13" xfId="18" applyFont="1" applyFill="1" applyBorder="1" applyAlignment="1" applyProtection="1">
      <alignment horizontal="center" vertical="center"/>
      <protection hidden="1"/>
    </xf>
    <xf numFmtId="0" fontId="21" fillId="13" borderId="74" xfId="18" applyFont="1" applyFill="1" applyBorder="1" applyAlignment="1" applyProtection="1">
      <alignment horizontal="center" vertical="center"/>
      <protection hidden="1"/>
    </xf>
    <xf numFmtId="0" fontId="21" fillId="13" borderId="55" xfId="18" applyFont="1" applyFill="1" applyBorder="1" applyAlignment="1" applyProtection="1">
      <alignment horizontal="center" vertical="center"/>
      <protection hidden="1"/>
    </xf>
    <xf numFmtId="0" fontId="21" fillId="13" borderId="36" xfId="18" applyFont="1" applyFill="1" applyBorder="1" applyAlignment="1" applyProtection="1">
      <alignment horizontal="center" vertical="center"/>
      <protection hidden="1"/>
    </xf>
    <xf numFmtId="0" fontId="21" fillId="13" borderId="64" xfId="18" applyFont="1" applyFill="1" applyBorder="1" applyAlignment="1" applyProtection="1">
      <alignment horizontal="center" vertical="center"/>
      <protection hidden="1"/>
    </xf>
    <xf numFmtId="14" fontId="21" fillId="3" borderId="13" xfId="15" applyNumberFormat="1" applyFont="1" applyFill="1" applyBorder="1" applyAlignment="1" applyProtection="1">
      <alignment horizontal="center" vertical="center"/>
      <protection locked="0"/>
    </xf>
    <xf numFmtId="0" fontId="21" fillId="3" borderId="13" xfId="15" applyFont="1" applyFill="1" applyBorder="1" applyAlignment="1" applyProtection="1">
      <alignment horizontal="center" vertical="center"/>
      <protection locked="0"/>
    </xf>
    <xf numFmtId="0" fontId="21" fillId="3" borderId="14" xfId="15" applyFont="1" applyFill="1" applyBorder="1" applyAlignment="1" applyProtection="1">
      <alignment horizontal="center" vertical="center"/>
      <protection locked="0"/>
    </xf>
    <xf numFmtId="0" fontId="21" fillId="3" borderId="36" xfId="15" applyFont="1" applyFill="1" applyBorder="1" applyAlignment="1" applyProtection="1">
      <alignment horizontal="center" vertical="center"/>
      <protection locked="0"/>
    </xf>
    <xf numFmtId="0" fontId="21" fillId="3" borderId="56" xfId="15" applyFont="1" applyFill="1" applyBorder="1" applyAlignment="1" applyProtection="1">
      <alignment horizontal="center" vertical="center"/>
      <protection locked="0"/>
    </xf>
    <xf numFmtId="0" fontId="55" fillId="0" borderId="12" xfId="15" applyFont="1" applyBorder="1" applyAlignment="1" applyProtection="1">
      <alignment horizontal="center" vertical="center" wrapText="1" shrinkToFit="1"/>
      <protection locked="0"/>
    </xf>
    <xf numFmtId="0" fontId="55" fillId="0" borderId="13" xfId="15" applyFont="1" applyBorder="1" applyAlignment="1" applyProtection="1">
      <alignment horizontal="center" vertical="center" wrapText="1" shrinkToFit="1"/>
      <protection locked="0"/>
    </xf>
    <xf numFmtId="0" fontId="55" fillId="0" borderId="14" xfId="15" applyFont="1" applyBorder="1" applyAlignment="1" applyProtection="1">
      <alignment horizontal="center" vertical="center" wrapText="1" shrinkToFit="1"/>
      <protection locked="0"/>
    </xf>
    <xf numFmtId="0" fontId="55" fillId="0" borderId="55" xfId="15" applyFont="1" applyBorder="1" applyAlignment="1" applyProtection="1">
      <alignment horizontal="center" vertical="center" wrapText="1" shrinkToFit="1"/>
      <protection locked="0"/>
    </xf>
    <xf numFmtId="0" fontId="55" fillId="0" borderId="36" xfId="15" applyFont="1" applyBorder="1" applyAlignment="1" applyProtection="1">
      <alignment horizontal="center" vertical="center" wrapText="1" shrinkToFit="1"/>
      <protection locked="0"/>
    </xf>
    <xf numFmtId="0" fontId="55" fillId="0" borderId="56" xfId="15" applyFont="1" applyBorder="1" applyAlignment="1" applyProtection="1">
      <alignment horizontal="center" vertical="center" wrapText="1" shrinkToFit="1"/>
      <protection locked="0"/>
    </xf>
    <xf numFmtId="0" fontId="21" fillId="13" borderId="12" xfId="18" applyFont="1" applyFill="1" applyBorder="1" applyAlignment="1" applyProtection="1">
      <alignment horizontal="center" vertical="center" shrinkToFit="1"/>
      <protection hidden="1"/>
    </xf>
    <xf numFmtId="0" fontId="21" fillId="13" borderId="13" xfId="18" applyFont="1" applyFill="1" applyBorder="1" applyAlignment="1" applyProtection="1">
      <alignment horizontal="center" vertical="center" shrinkToFit="1"/>
      <protection hidden="1"/>
    </xf>
    <xf numFmtId="0" fontId="21" fillId="13" borderId="14" xfId="18" applyFont="1" applyFill="1" applyBorder="1" applyAlignment="1" applyProtection="1">
      <alignment horizontal="center" vertical="center" shrinkToFit="1"/>
      <protection hidden="1"/>
    </xf>
    <xf numFmtId="0" fontId="21" fillId="13" borderId="55" xfId="18" applyFont="1" applyFill="1" applyBorder="1" applyAlignment="1" applyProtection="1">
      <alignment horizontal="center" vertical="center" shrinkToFit="1"/>
      <protection hidden="1"/>
    </xf>
    <xf numFmtId="0" fontId="21" fillId="13" borderId="36" xfId="18" applyFont="1" applyFill="1" applyBorder="1" applyAlignment="1" applyProtection="1">
      <alignment horizontal="center" vertical="center" shrinkToFit="1"/>
      <protection hidden="1"/>
    </xf>
    <xf numFmtId="0" fontId="21" fillId="13" borderId="56" xfId="18" applyFont="1" applyFill="1" applyBorder="1" applyAlignment="1" applyProtection="1">
      <alignment horizontal="center" vertical="center" shrinkToFit="1"/>
      <protection hidden="1"/>
    </xf>
    <xf numFmtId="167" fontId="21" fillId="13" borderId="13" xfId="18" applyNumberFormat="1" applyFont="1" applyFill="1" applyBorder="1" applyAlignment="1" applyProtection="1">
      <alignment horizontal="center" vertical="center"/>
      <protection hidden="1"/>
    </xf>
    <xf numFmtId="167" fontId="21" fillId="13" borderId="14" xfId="18" applyNumberFormat="1" applyFont="1" applyFill="1" applyBorder="1" applyAlignment="1" applyProtection="1">
      <alignment horizontal="center" vertical="center"/>
      <protection hidden="1"/>
    </xf>
    <xf numFmtId="167" fontId="21" fillId="13" borderId="36" xfId="18" applyNumberFormat="1" applyFont="1" applyFill="1" applyBorder="1" applyAlignment="1" applyProtection="1">
      <alignment horizontal="center" vertical="center"/>
      <protection hidden="1"/>
    </xf>
    <xf numFmtId="167" fontId="21" fillId="13" borderId="56" xfId="18" applyNumberFormat="1" applyFont="1" applyFill="1" applyBorder="1" applyAlignment="1" applyProtection="1">
      <alignment horizontal="center" vertical="center"/>
      <protection hidden="1"/>
    </xf>
    <xf numFmtId="0" fontId="19" fillId="13" borderId="58" xfId="15" applyFont="1" applyFill="1" applyBorder="1" applyAlignment="1" applyProtection="1">
      <alignment horizontal="center" vertical="center"/>
      <protection hidden="1"/>
    </xf>
    <xf numFmtId="0" fontId="19" fillId="13" borderId="17" xfId="15" applyFont="1" applyFill="1" applyBorder="1" applyAlignment="1" applyProtection="1">
      <alignment horizontal="center" vertical="center"/>
      <protection hidden="1"/>
    </xf>
    <xf numFmtId="0" fontId="19" fillId="13" borderId="19" xfId="15" applyFont="1" applyFill="1" applyBorder="1" applyAlignment="1" applyProtection="1">
      <alignment horizontal="center" vertical="center"/>
      <protection hidden="1"/>
    </xf>
    <xf numFmtId="0" fontId="19" fillId="13" borderId="18" xfId="15" applyFont="1" applyFill="1" applyBorder="1" applyAlignment="1" applyProtection="1">
      <alignment horizontal="center" vertical="center"/>
      <protection hidden="1"/>
    </xf>
    <xf numFmtId="0" fontId="19" fillId="13" borderId="42" xfId="15" applyFont="1" applyFill="1" applyBorder="1" applyAlignment="1" applyProtection="1">
      <alignment horizontal="center" vertical="center"/>
      <protection hidden="1"/>
    </xf>
    <xf numFmtId="0" fontId="19" fillId="13" borderId="26" xfId="15" applyFont="1" applyFill="1" applyBorder="1" applyAlignment="1" applyProtection="1">
      <alignment horizontal="center" vertical="center"/>
      <protection hidden="1"/>
    </xf>
    <xf numFmtId="0" fontId="8" fillId="0" borderId="17" xfId="15" applyFont="1" applyBorder="1" applyAlignment="1" applyProtection="1">
      <alignment horizontal="center" vertical="center"/>
      <protection locked="0"/>
    </xf>
    <xf numFmtId="0" fontId="8" fillId="0" borderId="18" xfId="15" applyFont="1" applyBorder="1" applyAlignment="1" applyProtection="1">
      <alignment horizontal="center" vertical="center"/>
      <protection locked="0"/>
    </xf>
    <xf numFmtId="0" fontId="8" fillId="0" borderId="26" xfId="15" applyFont="1" applyBorder="1" applyAlignment="1" applyProtection="1">
      <alignment horizontal="center" vertical="center"/>
      <protection locked="0"/>
    </xf>
    <xf numFmtId="0" fontId="4" fillId="0" borderId="26"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28" xfId="0" applyFont="1" applyBorder="1" applyAlignment="1">
      <alignment horizontal="center" vertical="center" wrapText="1"/>
    </xf>
    <xf numFmtId="0" fontId="28" fillId="8" borderId="13" xfId="13" applyFont="1" applyFill="1" applyBorder="1" applyAlignment="1">
      <alignment horizontal="center" vertical="center" textRotation="90"/>
    </xf>
    <xf numFmtId="0" fontId="28" fillId="8" borderId="0" xfId="13" applyFont="1" applyFill="1" applyAlignment="1">
      <alignment horizontal="center" vertical="center" textRotation="90"/>
    </xf>
    <xf numFmtId="0" fontId="28" fillId="8" borderId="36" xfId="13" applyFont="1" applyFill="1" applyBorder="1" applyAlignment="1">
      <alignment horizontal="center" vertical="center" textRotation="90"/>
    </xf>
    <xf numFmtId="0" fontId="28" fillId="9" borderId="13" xfId="13" applyFont="1" applyFill="1" applyBorder="1" applyAlignment="1">
      <alignment horizontal="center" vertical="center" textRotation="90"/>
    </xf>
    <xf numFmtId="0" fontId="28" fillId="9" borderId="0" xfId="13" applyFont="1" applyFill="1" applyAlignment="1">
      <alignment horizontal="center" vertical="center" textRotation="90"/>
    </xf>
    <xf numFmtId="0" fontId="28" fillId="9" borderId="36" xfId="13" applyFont="1" applyFill="1" applyBorder="1" applyAlignment="1">
      <alignment horizontal="center" vertical="center" textRotation="90"/>
    </xf>
    <xf numFmtId="0" fontId="7" fillId="10" borderId="13" xfId="13" applyFont="1" applyFill="1" applyBorder="1" applyAlignment="1">
      <alignment horizontal="center" vertical="center" wrapText="1"/>
    </xf>
    <xf numFmtId="0" fontId="7" fillId="10" borderId="0" xfId="13" applyFont="1" applyFill="1" applyAlignment="1">
      <alignment horizontal="center" vertical="center" wrapText="1"/>
    </xf>
    <xf numFmtId="0" fontId="28" fillId="11" borderId="13" xfId="14" applyFont="1" applyFill="1" applyBorder="1" applyAlignment="1">
      <alignment horizontal="center" vertical="center" textRotation="90"/>
    </xf>
    <xf numFmtId="0" fontId="28" fillId="11" borderId="0" xfId="14" applyFont="1" applyFill="1" applyAlignment="1">
      <alignment horizontal="center" vertical="center" textRotation="90"/>
    </xf>
    <xf numFmtId="0" fontId="28" fillId="11" borderId="36" xfId="14" applyFont="1" applyFill="1" applyBorder="1" applyAlignment="1">
      <alignment horizontal="center" vertical="center" textRotation="90"/>
    </xf>
    <xf numFmtId="0" fontId="12" fillId="5" borderId="0" xfId="14" applyFont="1" applyFill="1" applyAlignment="1">
      <alignment horizontal="center" vertical="center" wrapText="1"/>
    </xf>
    <xf numFmtId="0" fontId="12" fillId="5" borderId="36" xfId="14" applyFont="1" applyFill="1" applyBorder="1" applyAlignment="1">
      <alignment horizontal="center" vertical="center" wrapText="1"/>
    </xf>
    <xf numFmtId="0" fontId="38" fillId="0" borderId="32" xfId="0" applyFont="1" applyBorder="1" applyAlignment="1">
      <alignment horizontal="center" vertical="center" wrapText="1"/>
    </xf>
    <xf numFmtId="0" fontId="38" fillId="0" borderId="23" xfId="0" applyFont="1" applyBorder="1" applyAlignment="1">
      <alignment horizontal="center" vertical="center" wrapText="1"/>
    </xf>
    <xf numFmtId="0" fontId="38" fillId="0" borderId="57" xfId="0" applyFont="1" applyBorder="1" applyAlignment="1">
      <alignment horizontal="center" vertical="center" wrapText="1"/>
    </xf>
    <xf numFmtId="0" fontId="22" fillId="0" borderId="58" xfId="0" quotePrefix="1" applyFont="1" applyFill="1" applyBorder="1" applyAlignment="1" applyProtection="1">
      <alignment horizontal="center" vertical="center" wrapText="1"/>
      <protection locked="0"/>
    </xf>
    <xf numFmtId="0" fontId="22" fillId="0" borderId="33" xfId="0" applyFont="1" applyFill="1" applyBorder="1" applyAlignment="1" applyProtection="1">
      <alignment horizontal="center" vertical="center" wrapText="1"/>
      <protection locked="0"/>
    </xf>
    <xf numFmtId="1" fontId="22" fillId="0" borderId="17" xfId="18" applyNumberFormat="1" applyFont="1" applyFill="1" applyBorder="1" applyAlignment="1" applyProtection="1">
      <alignment horizontal="center" vertical="center" wrapText="1" shrinkToFit="1"/>
      <protection locked="0"/>
    </xf>
    <xf numFmtId="0" fontId="27" fillId="0" borderId="17" xfId="18" applyFont="1" applyFill="1" applyBorder="1" applyAlignment="1" applyProtection="1">
      <alignment horizontal="center" vertical="center" wrapText="1" shrinkToFit="1"/>
      <protection locked="0"/>
    </xf>
    <xf numFmtId="0" fontId="22" fillId="0" borderId="17" xfId="18" applyFont="1" applyFill="1" applyBorder="1" applyAlignment="1" applyProtection="1">
      <alignment horizontal="center" vertical="center" shrinkToFit="1"/>
      <protection locked="0"/>
    </xf>
    <xf numFmtId="0" fontId="22" fillId="0" borderId="38" xfId="16" applyFont="1" applyFill="1" applyBorder="1" applyAlignment="1" applyProtection="1">
      <alignment horizontal="center" vertical="center" wrapText="1"/>
      <protection locked="0"/>
    </xf>
    <xf numFmtId="1" fontId="22" fillId="0" borderId="49" xfId="17" applyNumberFormat="1" applyFont="1" applyFill="1" applyBorder="1" applyAlignment="1" applyProtection="1">
      <alignment horizontal="center" vertical="center" shrinkToFit="1"/>
      <protection locked="0"/>
    </xf>
    <xf numFmtId="2" fontId="22" fillId="0" borderId="58" xfId="2" applyNumberFormat="1" applyFont="1" applyFill="1" applyBorder="1" applyAlignment="1" applyProtection="1">
      <alignment horizontal="center" vertical="center" shrinkToFit="1"/>
      <protection locked="0"/>
    </xf>
    <xf numFmtId="0" fontId="27" fillId="0" borderId="38" xfId="16" quotePrefix="1" applyFont="1" applyFill="1" applyBorder="1" applyAlignment="1" applyProtection="1">
      <alignment horizontal="center" vertical="center" wrapText="1" shrinkToFit="1"/>
      <protection locked="0"/>
    </xf>
    <xf numFmtId="1" fontId="22" fillId="0" borderId="61" xfId="2" applyNumberFormat="1" applyFont="1" applyFill="1" applyBorder="1" applyAlignment="1" applyProtection="1">
      <alignment horizontal="center" vertical="center" wrapText="1"/>
      <protection hidden="1"/>
    </xf>
    <xf numFmtId="0" fontId="27" fillId="0" borderId="38" xfId="16" applyFont="1" applyFill="1" applyBorder="1" applyAlignment="1" applyProtection="1">
      <alignment horizontal="center" vertical="center" wrapText="1" shrinkToFit="1"/>
      <protection locked="0"/>
    </xf>
    <xf numFmtId="1" fontId="22" fillId="0" borderId="50" xfId="2" applyNumberFormat="1" applyFont="1" applyFill="1" applyBorder="1" applyAlignment="1" applyProtection="1">
      <alignment horizontal="center" vertical="center" wrapText="1"/>
      <protection hidden="1"/>
    </xf>
    <xf numFmtId="1" fontId="22" fillId="0" borderId="61" xfId="2" applyNumberFormat="1" applyFont="1" applyFill="1" applyBorder="1" applyAlignment="1" applyProtection="1">
      <alignment horizontal="center" vertical="center" wrapText="1"/>
      <protection locked="0"/>
    </xf>
    <xf numFmtId="167" fontId="34" fillId="0" borderId="58" xfId="18" applyNumberFormat="1" applyFont="1" applyFill="1" applyBorder="1" applyAlignment="1" applyProtection="1">
      <alignment horizontal="center" vertical="center"/>
      <protection hidden="1"/>
    </xf>
    <xf numFmtId="2" fontId="34" fillId="0" borderId="17" xfId="18" applyNumberFormat="1" applyFont="1" applyFill="1" applyBorder="1" applyAlignment="1" applyProtection="1">
      <alignment horizontal="center" vertical="center"/>
      <protection hidden="1"/>
    </xf>
    <xf numFmtId="167" fontId="34" fillId="0" borderId="38" xfId="18" applyNumberFormat="1" applyFont="1" applyFill="1" applyBorder="1" applyAlignment="1" applyProtection="1">
      <alignment horizontal="center" vertical="center" shrinkToFit="1"/>
      <protection hidden="1"/>
    </xf>
    <xf numFmtId="167" fontId="25" fillId="0" borderId="33" xfId="18" applyNumberFormat="1" applyFont="1" applyFill="1" applyBorder="1" applyAlignment="1" applyProtection="1">
      <alignment horizontal="center" vertical="center"/>
      <protection hidden="1"/>
    </xf>
    <xf numFmtId="1" fontId="25" fillId="0" borderId="28" xfId="18" applyNumberFormat="1" applyFont="1" applyFill="1" applyBorder="1" applyAlignment="1" applyProtection="1">
      <alignment horizontal="center" vertical="center"/>
      <protection hidden="1"/>
    </xf>
    <xf numFmtId="167" fontId="25" fillId="0" borderId="38" xfId="18" applyNumberFormat="1" applyFont="1" applyFill="1" applyBorder="1" applyAlignment="1" applyProtection="1">
      <alignment horizontal="center" vertical="center" shrinkToFit="1"/>
      <protection hidden="1"/>
    </xf>
    <xf numFmtId="167" fontId="12" fillId="0" borderId="33" xfId="18" applyNumberFormat="1" applyFont="1" applyFill="1" applyBorder="1" applyAlignment="1" applyProtection="1">
      <alignment horizontal="center" vertical="center"/>
      <protection hidden="1"/>
    </xf>
    <xf numFmtId="167" fontId="12" fillId="0" borderId="45" xfId="18" applyNumberFormat="1" applyFont="1" applyFill="1" applyBorder="1" applyAlignment="1" applyProtection="1">
      <alignment horizontal="center" vertical="center"/>
      <protection hidden="1"/>
    </xf>
    <xf numFmtId="167" fontId="12" fillId="0" borderId="37" xfId="18" applyNumberFormat="1" applyFont="1" applyFill="1" applyBorder="1" applyAlignment="1" applyProtection="1">
      <alignment horizontal="center" vertical="center" shrinkToFit="1"/>
      <protection hidden="1"/>
    </xf>
    <xf numFmtId="1" fontId="25" fillId="0" borderId="17" xfId="18" applyNumberFormat="1" applyFont="1" applyFill="1" applyBorder="1" applyAlignment="1" applyProtection="1">
      <alignment horizontal="center" vertical="center" wrapText="1"/>
      <protection hidden="1"/>
    </xf>
    <xf numFmtId="1" fontId="25" fillId="0" borderId="38" xfId="18" applyNumberFormat="1" applyFont="1" applyFill="1" applyBorder="1" applyAlignment="1" applyProtection="1">
      <alignment horizontal="center" vertical="center" wrapText="1"/>
      <protection hidden="1"/>
    </xf>
    <xf numFmtId="167" fontId="12" fillId="0" borderId="48" xfId="18" applyNumberFormat="1" applyFont="1" applyFill="1" applyBorder="1" applyAlignment="1" applyProtection="1">
      <alignment horizontal="center" vertical="center" wrapText="1" shrinkToFit="1"/>
      <protection locked="0"/>
    </xf>
    <xf numFmtId="167" fontId="12" fillId="0" borderId="50" xfId="18" applyNumberFormat="1" applyFont="1" applyFill="1" applyBorder="1" applyAlignment="1" applyProtection="1">
      <alignment horizontal="center" vertical="center" wrapText="1" shrinkToFit="1"/>
      <protection locked="0"/>
    </xf>
    <xf numFmtId="167" fontId="12" fillId="0" borderId="37" xfId="18" applyNumberFormat="1" applyFont="1" applyFill="1" applyBorder="1" applyAlignment="1" applyProtection="1">
      <alignment horizontal="center" vertical="center" wrapText="1" shrinkToFit="1"/>
      <protection locked="0"/>
    </xf>
    <xf numFmtId="167" fontId="12" fillId="0" borderId="28" xfId="18" applyNumberFormat="1" applyFont="1" applyFill="1" applyBorder="1" applyAlignment="1" applyProtection="1">
      <alignment horizontal="center" vertical="center" wrapText="1" shrinkToFit="1"/>
      <protection locked="0"/>
    </xf>
    <xf numFmtId="0" fontId="22" fillId="0" borderId="19" xfId="0" quotePrefix="1" applyFont="1" applyFill="1" applyBorder="1" applyAlignment="1" applyProtection="1">
      <alignment horizontal="center" vertical="center" wrapText="1"/>
      <protection locked="0"/>
    </xf>
    <xf numFmtId="0" fontId="22" fillId="0" borderId="11" xfId="0" applyFont="1" applyFill="1" applyBorder="1" applyAlignment="1" applyProtection="1">
      <alignment horizontal="center" vertical="center" wrapText="1"/>
      <protection locked="0"/>
    </xf>
    <xf numFmtId="1" fontId="22" fillId="0" borderId="28" xfId="18" applyNumberFormat="1" applyFont="1" applyFill="1" applyBorder="1" applyAlignment="1" applyProtection="1">
      <alignment horizontal="center" vertical="center" wrapText="1" shrinkToFit="1"/>
      <protection locked="0"/>
    </xf>
    <xf numFmtId="0" fontId="27" fillId="0" borderId="28" xfId="18" applyFont="1" applyFill="1" applyBorder="1" applyAlignment="1" applyProtection="1">
      <alignment horizontal="center" vertical="center" wrapText="1" shrinkToFit="1"/>
      <protection locked="0"/>
    </xf>
    <xf numFmtId="0" fontId="22" fillId="0" borderId="28" xfId="18" applyFont="1" applyFill="1" applyBorder="1" applyAlignment="1" applyProtection="1">
      <alignment horizontal="center" vertical="center" shrinkToFit="1"/>
      <protection locked="0"/>
    </xf>
    <xf numFmtId="0" fontId="22" fillId="0" borderId="30" xfId="16" applyFont="1" applyFill="1" applyBorder="1" applyAlignment="1" applyProtection="1">
      <alignment horizontal="center" vertical="center" wrapText="1"/>
      <protection locked="0"/>
    </xf>
    <xf numFmtId="1" fontId="22" fillId="0" borderId="2" xfId="17" applyNumberFormat="1" applyFont="1" applyFill="1" applyBorder="1" applyAlignment="1" applyProtection="1">
      <alignment horizontal="center" vertical="center" shrinkToFit="1"/>
      <protection locked="0"/>
    </xf>
    <xf numFmtId="2" fontId="22" fillId="0" borderId="37" xfId="2" applyNumberFormat="1" applyFont="1" applyFill="1" applyBorder="1" applyAlignment="1" applyProtection="1">
      <alignment horizontal="center" vertical="center" shrinkToFit="1"/>
      <protection locked="0"/>
    </xf>
    <xf numFmtId="0" fontId="27" fillId="0" borderId="30" xfId="16" applyFont="1" applyFill="1" applyBorder="1" applyAlignment="1" applyProtection="1">
      <alignment horizontal="center" vertical="center" wrapText="1" shrinkToFit="1"/>
      <protection locked="0"/>
    </xf>
    <xf numFmtId="1" fontId="22" fillId="0" borderId="30" xfId="2" applyNumberFormat="1" applyFont="1" applyFill="1" applyBorder="1" applyAlignment="1" applyProtection="1">
      <alignment horizontal="center" vertical="center" wrapText="1"/>
      <protection hidden="1"/>
    </xf>
    <xf numFmtId="0" fontId="27" fillId="0" borderId="30" xfId="16" quotePrefix="1" applyFont="1" applyFill="1" applyBorder="1" applyAlignment="1" applyProtection="1">
      <alignment horizontal="center" vertical="center" wrapText="1" shrinkToFit="1"/>
      <protection locked="0"/>
    </xf>
    <xf numFmtId="1" fontId="22" fillId="0" borderId="41" xfId="2" applyNumberFormat="1" applyFont="1" applyFill="1" applyBorder="1" applyAlignment="1" applyProtection="1">
      <alignment horizontal="center" vertical="center" wrapText="1"/>
      <protection hidden="1"/>
    </xf>
    <xf numFmtId="1" fontId="22" fillId="0" borderId="59" xfId="2" applyNumberFormat="1" applyFont="1" applyFill="1" applyBorder="1" applyAlignment="1" applyProtection="1">
      <alignment horizontal="center" vertical="center" wrapText="1"/>
      <protection locked="0"/>
    </xf>
    <xf numFmtId="167" fontId="34" fillId="0" borderId="19" xfId="18" applyNumberFormat="1" applyFont="1" applyFill="1" applyBorder="1" applyAlignment="1" applyProtection="1">
      <alignment horizontal="center" vertical="center"/>
      <protection hidden="1"/>
    </xf>
    <xf numFmtId="2" fontId="34" fillId="0" borderId="18" xfId="18" applyNumberFormat="1" applyFont="1" applyFill="1" applyBorder="1" applyAlignment="1" applyProtection="1">
      <alignment horizontal="center" vertical="center"/>
      <protection hidden="1"/>
    </xf>
    <xf numFmtId="167" fontId="34" fillId="0" borderId="22" xfId="18" applyNumberFormat="1" applyFont="1" applyFill="1" applyBorder="1" applyAlignment="1" applyProtection="1">
      <alignment horizontal="center" vertical="center" shrinkToFit="1"/>
      <protection hidden="1"/>
    </xf>
    <xf numFmtId="167" fontId="25" fillId="0" borderId="5" xfId="18" applyNumberFormat="1" applyFont="1" applyFill="1" applyBorder="1" applyAlignment="1" applyProtection="1">
      <alignment horizontal="center" vertical="center"/>
      <protection hidden="1"/>
    </xf>
    <xf numFmtId="167" fontId="25" fillId="0" borderId="30" xfId="18" applyNumberFormat="1" applyFont="1" applyFill="1" applyBorder="1" applyAlignment="1" applyProtection="1">
      <alignment horizontal="center" vertical="center" shrinkToFit="1"/>
      <protection hidden="1"/>
    </xf>
    <xf numFmtId="167" fontId="12" fillId="0" borderId="11" xfId="18" applyNumberFormat="1" applyFont="1" applyFill="1" applyBorder="1" applyAlignment="1" applyProtection="1">
      <alignment horizontal="center" vertical="center"/>
      <protection hidden="1"/>
    </xf>
    <xf numFmtId="167" fontId="12" fillId="0" borderId="27" xfId="18" applyNumberFormat="1" applyFont="1" applyFill="1" applyBorder="1" applyAlignment="1" applyProtection="1">
      <alignment horizontal="center" vertical="center"/>
      <protection hidden="1"/>
    </xf>
    <xf numFmtId="1" fontId="25" fillId="0" borderId="28" xfId="18" applyNumberFormat="1" applyFont="1" applyFill="1" applyBorder="1" applyAlignment="1" applyProtection="1">
      <alignment horizontal="center" vertical="center" wrapText="1"/>
      <protection hidden="1"/>
    </xf>
    <xf numFmtId="1" fontId="25" fillId="0" borderId="30" xfId="18" applyNumberFormat="1" applyFont="1" applyFill="1" applyBorder="1" applyAlignment="1" applyProtection="1">
      <alignment horizontal="center" vertical="center" wrapText="1"/>
      <protection hidden="1"/>
    </xf>
    <xf numFmtId="167" fontId="12" fillId="0" borderId="47" xfId="18" applyNumberFormat="1" applyFont="1" applyFill="1" applyBorder="1" applyAlignment="1" applyProtection="1">
      <alignment horizontal="center" vertical="center" wrapText="1" shrinkToFit="1"/>
      <protection locked="0"/>
    </xf>
    <xf numFmtId="167" fontId="12" fillId="0" borderId="29" xfId="18" applyNumberFormat="1" applyFont="1" applyFill="1" applyBorder="1" applyAlignment="1" applyProtection="1">
      <alignment horizontal="center" vertical="center" wrapText="1" shrinkToFit="1"/>
      <protection locked="0"/>
    </xf>
    <xf numFmtId="167" fontId="12" fillId="0" borderId="19" xfId="18" applyNumberFormat="1" applyFont="1" applyFill="1" applyBorder="1" applyAlignment="1" applyProtection="1">
      <alignment horizontal="center" vertical="center" wrapText="1" shrinkToFit="1"/>
      <protection locked="0"/>
    </xf>
    <xf numFmtId="167" fontId="12" fillId="0" borderId="18" xfId="18" applyNumberFormat="1" applyFont="1" applyFill="1" applyBorder="1" applyAlignment="1" applyProtection="1">
      <alignment horizontal="center" vertical="center" wrapText="1" shrinkToFit="1"/>
      <protection locked="0"/>
    </xf>
    <xf numFmtId="1" fontId="22" fillId="0" borderId="29" xfId="2" applyNumberFormat="1" applyFont="1" applyFill="1" applyBorder="1" applyAlignment="1" applyProtection="1">
      <alignment horizontal="center" vertical="center" wrapText="1"/>
      <protection hidden="1"/>
    </xf>
    <xf numFmtId="2" fontId="27" fillId="0" borderId="58" xfId="2" quotePrefix="1" applyNumberFormat="1" applyFont="1" applyFill="1" applyBorder="1" applyAlignment="1" applyProtection="1">
      <alignment horizontal="center" vertical="center" wrapText="1"/>
      <protection locked="0"/>
    </xf>
  </cellXfs>
  <cellStyles count="33512">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0" xfId="33511" xr:uid="{00000000-0005-0000-0000-00000D8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topLeftCell="A7"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99"/>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00"/>
      <c r="B2" s="190"/>
      <c r="C2" s="205" t="s">
        <v>25</v>
      </c>
      <c r="D2" s="205" t="s">
        <v>26</v>
      </c>
      <c r="E2" s="206"/>
      <c r="F2" s="510" t="s">
        <v>27</v>
      </c>
      <c r="G2" s="511"/>
      <c r="H2" s="512"/>
      <c r="I2" s="207" t="s">
        <v>28</v>
      </c>
      <c r="J2" s="208" t="s">
        <v>29</v>
      </c>
      <c r="K2" s="206"/>
      <c r="L2" s="209"/>
      <c r="M2" s="507" t="s">
        <v>30</v>
      </c>
      <c r="N2" s="508"/>
      <c r="O2" s="508"/>
      <c r="P2" s="508"/>
      <c r="Q2" s="508"/>
      <c r="R2" s="508"/>
      <c r="S2" s="508"/>
      <c r="T2" s="508"/>
      <c r="U2" s="508"/>
      <c r="V2" s="508"/>
      <c r="W2" s="508"/>
      <c r="X2" s="508"/>
      <c r="Y2" s="508"/>
      <c r="Z2" s="508"/>
      <c r="AA2" s="508"/>
      <c r="AB2" s="508"/>
      <c r="AC2" s="508"/>
      <c r="AD2" s="508"/>
      <c r="AE2" s="508"/>
      <c r="AF2" s="508"/>
      <c r="AG2" s="508"/>
      <c r="AH2" s="508"/>
      <c r="AI2" s="508"/>
      <c r="AJ2" s="509"/>
      <c r="AK2" s="198"/>
      <c r="AL2" s="198"/>
      <c r="AM2" s="204"/>
    </row>
    <row r="3" spans="1:39" ht="17.25" customHeight="1">
      <c r="A3" s="500"/>
      <c r="B3" s="190"/>
      <c r="C3" s="269">
        <v>0</v>
      </c>
      <c r="D3" s="268" t="s">
        <v>1674</v>
      </c>
      <c r="E3" s="219"/>
      <c r="F3" s="482">
        <v>45014</v>
      </c>
      <c r="G3" s="483"/>
      <c r="H3" s="484"/>
      <c r="I3" s="303" t="s">
        <v>1641</v>
      </c>
      <c r="J3" s="220"/>
      <c r="K3" s="221"/>
      <c r="L3" s="220"/>
      <c r="M3" s="423" t="s">
        <v>1642</v>
      </c>
      <c r="N3" s="424"/>
      <c r="O3" s="424"/>
      <c r="P3" s="424"/>
      <c r="Q3" s="424"/>
      <c r="R3" s="424"/>
      <c r="S3" s="424"/>
      <c r="T3" s="424"/>
      <c r="U3" s="424"/>
      <c r="V3" s="424"/>
      <c r="W3" s="424"/>
      <c r="X3" s="424"/>
      <c r="Y3" s="424"/>
      <c r="Z3" s="424"/>
      <c r="AA3" s="424"/>
      <c r="AB3" s="424"/>
      <c r="AC3" s="424"/>
      <c r="AD3" s="424"/>
      <c r="AE3" s="424"/>
      <c r="AF3" s="424"/>
      <c r="AG3" s="424"/>
      <c r="AH3" s="424"/>
      <c r="AI3" s="424"/>
      <c r="AJ3" s="425"/>
      <c r="AK3" s="198"/>
      <c r="AL3" s="198"/>
      <c r="AM3" s="204"/>
    </row>
    <row r="4" spans="1:39" ht="17.25" customHeight="1">
      <c r="A4" s="500"/>
      <c r="B4" s="190"/>
      <c r="C4" s="268"/>
      <c r="D4" s="268"/>
      <c r="E4" s="221"/>
      <c r="F4" s="485"/>
      <c r="G4" s="486"/>
      <c r="H4" s="487"/>
      <c r="I4" s="303"/>
      <c r="J4" s="220"/>
      <c r="K4" s="221"/>
      <c r="L4" s="220"/>
      <c r="M4" s="420"/>
      <c r="N4" s="421"/>
      <c r="O4" s="421"/>
      <c r="P4" s="421"/>
      <c r="Q4" s="421"/>
      <c r="R4" s="421"/>
      <c r="S4" s="421"/>
      <c r="T4" s="421"/>
      <c r="U4" s="421"/>
      <c r="V4" s="421"/>
      <c r="W4" s="421"/>
      <c r="X4" s="421"/>
      <c r="Y4" s="421"/>
      <c r="Z4" s="421"/>
      <c r="AA4" s="421"/>
      <c r="AB4" s="421"/>
      <c r="AC4" s="421"/>
      <c r="AD4" s="421"/>
      <c r="AE4" s="421"/>
      <c r="AF4" s="421"/>
      <c r="AG4" s="421"/>
      <c r="AH4" s="421"/>
      <c r="AI4" s="421"/>
      <c r="AJ4" s="422"/>
      <c r="AK4" s="199"/>
      <c r="AL4" s="199"/>
      <c r="AM4" s="204"/>
    </row>
    <row r="5" spans="1:39" ht="17.25" customHeight="1">
      <c r="A5" s="500"/>
      <c r="B5" s="190"/>
      <c r="C5" s="268"/>
      <c r="D5" s="268"/>
      <c r="E5" s="222"/>
      <c r="F5" s="485"/>
      <c r="G5" s="486"/>
      <c r="H5" s="487"/>
      <c r="I5" s="304"/>
      <c r="J5" s="223"/>
      <c r="K5" s="224"/>
      <c r="L5" s="225"/>
      <c r="M5" s="420"/>
      <c r="N5" s="421"/>
      <c r="O5" s="421"/>
      <c r="P5" s="421"/>
      <c r="Q5" s="421"/>
      <c r="R5" s="421"/>
      <c r="S5" s="421"/>
      <c r="T5" s="421"/>
      <c r="U5" s="421"/>
      <c r="V5" s="421"/>
      <c r="W5" s="421"/>
      <c r="X5" s="421"/>
      <c r="Y5" s="421"/>
      <c r="Z5" s="421"/>
      <c r="AA5" s="421"/>
      <c r="AB5" s="421"/>
      <c r="AC5" s="421"/>
      <c r="AD5" s="421"/>
      <c r="AE5" s="421"/>
      <c r="AF5" s="421"/>
      <c r="AG5" s="421"/>
      <c r="AH5" s="421"/>
      <c r="AI5" s="421"/>
      <c r="AJ5" s="422"/>
      <c r="AK5" s="210"/>
      <c r="AL5" s="168"/>
      <c r="AM5" s="204"/>
    </row>
    <row r="6" spans="1:39" ht="17.25" customHeight="1">
      <c r="A6" s="500"/>
      <c r="B6" s="190"/>
      <c r="C6" s="268"/>
      <c r="D6" s="268"/>
      <c r="E6" s="222"/>
      <c r="F6" s="485"/>
      <c r="G6" s="486"/>
      <c r="H6" s="487"/>
      <c r="I6" s="304"/>
      <c r="J6" s="223"/>
      <c r="K6" s="224"/>
      <c r="L6" s="225"/>
      <c r="M6" s="420"/>
      <c r="N6" s="421"/>
      <c r="O6" s="421"/>
      <c r="P6" s="421"/>
      <c r="Q6" s="421"/>
      <c r="R6" s="421"/>
      <c r="S6" s="421"/>
      <c r="T6" s="421"/>
      <c r="U6" s="421"/>
      <c r="V6" s="421"/>
      <c r="W6" s="421"/>
      <c r="X6" s="421"/>
      <c r="Y6" s="421"/>
      <c r="Z6" s="421"/>
      <c r="AA6" s="421"/>
      <c r="AB6" s="421"/>
      <c r="AC6" s="421"/>
      <c r="AD6" s="421"/>
      <c r="AE6" s="421"/>
      <c r="AF6" s="421"/>
      <c r="AG6" s="421"/>
      <c r="AH6" s="421"/>
      <c r="AI6" s="421"/>
      <c r="AJ6" s="422"/>
      <c r="AK6" s="168"/>
      <c r="AL6" s="168"/>
      <c r="AM6" s="204"/>
    </row>
    <row r="7" spans="1:39" ht="17.25" customHeight="1">
      <c r="A7" s="500"/>
      <c r="B7" s="190"/>
      <c r="C7" s="268"/>
      <c r="D7" s="226"/>
      <c r="E7" s="227"/>
      <c r="F7" s="488"/>
      <c r="G7" s="489"/>
      <c r="H7" s="490"/>
      <c r="I7" s="305"/>
      <c r="J7" s="228"/>
      <c r="K7" s="229"/>
      <c r="L7" s="230"/>
      <c r="M7" s="423"/>
      <c r="N7" s="424"/>
      <c r="O7" s="424"/>
      <c r="P7" s="424"/>
      <c r="Q7" s="424"/>
      <c r="R7" s="424"/>
      <c r="S7" s="424"/>
      <c r="T7" s="424"/>
      <c r="U7" s="424"/>
      <c r="V7" s="424"/>
      <c r="W7" s="424"/>
      <c r="X7" s="424"/>
      <c r="Y7" s="424"/>
      <c r="Z7" s="424"/>
      <c r="AA7" s="424"/>
      <c r="AB7" s="424"/>
      <c r="AC7" s="424"/>
      <c r="AD7" s="424"/>
      <c r="AE7" s="424"/>
      <c r="AF7" s="424"/>
      <c r="AG7" s="424"/>
      <c r="AH7" s="424"/>
      <c r="AI7" s="424"/>
      <c r="AJ7" s="425"/>
      <c r="AK7" s="168"/>
      <c r="AL7" s="168"/>
      <c r="AM7" s="204"/>
    </row>
    <row r="8" spans="1:39" ht="17.25" customHeight="1">
      <c r="A8" s="500"/>
      <c r="B8" s="190"/>
      <c r="C8" s="268"/>
      <c r="D8" s="226"/>
      <c r="E8" s="227"/>
      <c r="F8" s="488"/>
      <c r="G8" s="489"/>
      <c r="H8" s="490"/>
      <c r="I8" s="304"/>
      <c r="J8" s="228"/>
      <c r="K8" s="229"/>
      <c r="L8" s="230"/>
      <c r="M8" s="423"/>
      <c r="N8" s="424"/>
      <c r="O8" s="424"/>
      <c r="P8" s="424"/>
      <c r="Q8" s="424"/>
      <c r="R8" s="424"/>
      <c r="S8" s="424"/>
      <c r="T8" s="424"/>
      <c r="U8" s="424"/>
      <c r="V8" s="424"/>
      <c r="W8" s="424"/>
      <c r="X8" s="424"/>
      <c r="Y8" s="424"/>
      <c r="Z8" s="424"/>
      <c r="AA8" s="424"/>
      <c r="AB8" s="424"/>
      <c r="AC8" s="424"/>
      <c r="AD8" s="424"/>
      <c r="AE8" s="424"/>
      <c r="AF8" s="424"/>
      <c r="AG8" s="424"/>
      <c r="AH8" s="424"/>
      <c r="AI8" s="424"/>
      <c r="AJ8" s="425"/>
      <c r="AK8" s="168"/>
      <c r="AL8" s="168"/>
      <c r="AM8" s="204"/>
    </row>
    <row r="9" spans="1:39" ht="17.25" customHeight="1">
      <c r="A9" s="500"/>
      <c r="B9" s="190"/>
      <c r="C9" s="268"/>
      <c r="D9" s="231"/>
      <c r="E9" s="232"/>
      <c r="F9" s="403"/>
      <c r="G9" s="491"/>
      <c r="H9" s="491"/>
      <c r="I9" s="306"/>
      <c r="J9" s="223"/>
      <c r="K9" s="225"/>
      <c r="L9" s="225"/>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168"/>
      <c r="AL9" s="168"/>
      <c r="AM9" s="204"/>
    </row>
    <row r="10" spans="1:39" ht="17.25" customHeight="1">
      <c r="A10" s="500"/>
      <c r="B10" s="190"/>
      <c r="C10" s="268"/>
      <c r="D10" s="231"/>
      <c r="E10" s="232"/>
      <c r="F10" s="403"/>
      <c r="G10" s="491"/>
      <c r="H10" s="491"/>
      <c r="I10" s="306"/>
      <c r="J10" s="223"/>
      <c r="K10" s="225"/>
      <c r="L10" s="225"/>
      <c r="M10" s="506"/>
      <c r="N10" s="506"/>
      <c r="O10" s="506"/>
      <c r="P10" s="506"/>
      <c r="Q10" s="506"/>
      <c r="R10" s="506"/>
      <c r="S10" s="506"/>
      <c r="T10" s="506"/>
      <c r="U10" s="506"/>
      <c r="V10" s="506"/>
      <c r="W10" s="506"/>
      <c r="X10" s="506"/>
      <c r="Y10" s="506"/>
      <c r="Z10" s="506"/>
      <c r="AA10" s="506"/>
      <c r="AB10" s="506"/>
      <c r="AC10" s="506"/>
      <c r="AD10" s="506"/>
      <c r="AE10" s="506"/>
      <c r="AF10" s="506"/>
      <c r="AG10" s="506"/>
      <c r="AH10" s="506"/>
      <c r="AI10" s="506"/>
      <c r="AJ10" s="506"/>
      <c r="AK10" s="168"/>
      <c r="AL10" s="168"/>
      <c r="AM10" s="204"/>
    </row>
    <row r="11" spans="1:39" ht="17.25" customHeight="1">
      <c r="A11" s="500"/>
      <c r="B11" s="190"/>
      <c r="C11" s="268"/>
      <c r="D11" s="231"/>
      <c r="E11" s="232"/>
      <c r="F11" s="403"/>
      <c r="G11" s="403"/>
      <c r="H11" s="403"/>
      <c r="I11" s="232"/>
      <c r="J11" s="223"/>
      <c r="K11" s="225"/>
      <c r="L11" s="225"/>
      <c r="M11" s="514"/>
      <c r="N11" s="506"/>
      <c r="O11" s="506"/>
      <c r="P11" s="506"/>
      <c r="Q11" s="506"/>
      <c r="R11" s="506"/>
      <c r="S11" s="506"/>
      <c r="T11" s="506"/>
      <c r="U11" s="506"/>
      <c r="V11" s="506"/>
      <c r="W11" s="506"/>
      <c r="X11" s="506"/>
      <c r="Y11" s="506"/>
      <c r="Z11" s="506"/>
      <c r="AA11" s="506"/>
      <c r="AB11" s="506"/>
      <c r="AC11" s="506"/>
      <c r="AD11" s="506"/>
      <c r="AE11" s="506"/>
      <c r="AF11" s="506"/>
      <c r="AG11" s="506"/>
      <c r="AH11" s="506"/>
      <c r="AI11" s="506"/>
      <c r="AJ11" s="506"/>
      <c r="AK11" s="168"/>
      <c r="AL11" s="168"/>
      <c r="AM11" s="204"/>
    </row>
    <row r="12" spans="1:39" ht="17.25" customHeight="1">
      <c r="A12" s="500"/>
      <c r="B12" s="190"/>
      <c r="C12" s="268"/>
      <c r="D12" s="233"/>
      <c r="E12" s="234"/>
      <c r="F12" s="496"/>
      <c r="G12" s="497"/>
      <c r="H12" s="498"/>
      <c r="I12" s="234"/>
      <c r="J12" s="235"/>
      <c r="K12" s="236"/>
      <c r="L12" s="237"/>
      <c r="M12" s="503"/>
      <c r="N12" s="504"/>
      <c r="O12" s="504"/>
      <c r="P12" s="504"/>
      <c r="Q12" s="504"/>
      <c r="R12" s="504"/>
      <c r="S12" s="504"/>
      <c r="T12" s="504"/>
      <c r="U12" s="504"/>
      <c r="V12" s="504"/>
      <c r="W12" s="504"/>
      <c r="X12" s="504"/>
      <c r="Y12" s="504"/>
      <c r="Z12" s="504"/>
      <c r="AA12" s="504"/>
      <c r="AB12" s="504"/>
      <c r="AC12" s="504"/>
      <c r="AD12" s="504"/>
      <c r="AE12" s="504"/>
      <c r="AF12" s="504"/>
      <c r="AG12" s="504"/>
      <c r="AH12" s="504"/>
      <c r="AI12" s="504"/>
      <c r="AJ12" s="505"/>
      <c r="AK12" s="168"/>
      <c r="AL12" s="168"/>
      <c r="AM12" s="204"/>
    </row>
    <row r="13" spans="1:39" ht="17.25" customHeight="1">
      <c r="A13" s="500"/>
      <c r="B13" s="190"/>
      <c r="C13" s="268"/>
      <c r="D13" s="238"/>
      <c r="E13" s="222"/>
      <c r="F13" s="493"/>
      <c r="G13" s="494"/>
      <c r="H13" s="495"/>
      <c r="I13" s="222"/>
      <c r="J13" s="223"/>
      <c r="K13" s="224"/>
      <c r="L13" s="225"/>
      <c r="M13" s="423"/>
      <c r="N13" s="424"/>
      <c r="O13" s="424"/>
      <c r="P13" s="424"/>
      <c r="Q13" s="424"/>
      <c r="R13" s="424"/>
      <c r="S13" s="424"/>
      <c r="T13" s="424"/>
      <c r="U13" s="424"/>
      <c r="V13" s="424"/>
      <c r="W13" s="424"/>
      <c r="X13" s="424"/>
      <c r="Y13" s="424"/>
      <c r="Z13" s="424"/>
      <c r="AA13" s="424"/>
      <c r="AB13" s="424"/>
      <c r="AC13" s="424"/>
      <c r="AD13" s="424"/>
      <c r="AE13" s="424"/>
      <c r="AF13" s="424"/>
      <c r="AG13" s="424"/>
      <c r="AH13" s="424"/>
      <c r="AI13" s="424"/>
      <c r="AJ13" s="425"/>
      <c r="AK13" s="168"/>
      <c r="AL13" s="168"/>
      <c r="AM13" s="204"/>
    </row>
    <row r="14" spans="1:39" ht="17.25" customHeight="1">
      <c r="A14" s="500"/>
      <c r="B14" s="190"/>
      <c r="C14" s="268"/>
      <c r="D14" s="238"/>
      <c r="E14" s="222"/>
      <c r="F14" s="448"/>
      <c r="G14" s="449"/>
      <c r="H14" s="450"/>
      <c r="I14" s="222"/>
      <c r="J14" s="223"/>
      <c r="K14" s="224"/>
      <c r="L14" s="225"/>
      <c r="M14" s="420"/>
      <c r="N14" s="421"/>
      <c r="O14" s="421"/>
      <c r="P14" s="421"/>
      <c r="Q14" s="421"/>
      <c r="R14" s="421"/>
      <c r="S14" s="421"/>
      <c r="T14" s="421"/>
      <c r="U14" s="421"/>
      <c r="V14" s="421"/>
      <c r="W14" s="421"/>
      <c r="X14" s="421"/>
      <c r="Y14" s="421"/>
      <c r="Z14" s="421"/>
      <c r="AA14" s="421"/>
      <c r="AB14" s="421"/>
      <c r="AC14" s="421"/>
      <c r="AD14" s="421"/>
      <c r="AE14" s="421"/>
      <c r="AF14" s="421"/>
      <c r="AG14" s="421"/>
      <c r="AH14" s="421"/>
      <c r="AI14" s="421"/>
      <c r="AJ14" s="422"/>
      <c r="AK14" s="168"/>
      <c r="AL14" s="168"/>
      <c r="AM14" s="204"/>
    </row>
    <row r="15" spans="1:39" ht="17.25" customHeight="1">
      <c r="A15" s="500"/>
      <c r="B15" s="190"/>
      <c r="C15" s="268"/>
      <c r="D15" s="238"/>
      <c r="E15" s="222"/>
      <c r="F15" s="493"/>
      <c r="G15" s="494"/>
      <c r="H15" s="495"/>
      <c r="I15" s="313"/>
      <c r="J15" s="223"/>
      <c r="K15" s="224"/>
      <c r="L15" s="225"/>
      <c r="M15" s="423"/>
      <c r="N15" s="424"/>
      <c r="O15" s="424"/>
      <c r="P15" s="424"/>
      <c r="Q15" s="424"/>
      <c r="R15" s="424"/>
      <c r="S15" s="424"/>
      <c r="T15" s="424"/>
      <c r="U15" s="424"/>
      <c r="V15" s="424"/>
      <c r="W15" s="424"/>
      <c r="X15" s="424"/>
      <c r="Y15" s="424"/>
      <c r="Z15" s="424"/>
      <c r="AA15" s="424"/>
      <c r="AB15" s="424"/>
      <c r="AC15" s="424"/>
      <c r="AD15" s="424"/>
      <c r="AE15" s="424"/>
      <c r="AF15" s="424"/>
      <c r="AG15" s="424"/>
      <c r="AH15" s="424"/>
      <c r="AI15" s="424"/>
      <c r="AJ15" s="425"/>
      <c r="AK15" s="168"/>
      <c r="AL15" s="168"/>
      <c r="AM15" s="204"/>
    </row>
    <row r="16" spans="1:39" ht="17.25" customHeight="1">
      <c r="A16" s="500"/>
      <c r="B16" s="190"/>
      <c r="C16" s="268"/>
      <c r="D16" s="238"/>
      <c r="E16" s="234"/>
      <c r="F16" s="448"/>
      <c r="G16" s="449"/>
      <c r="H16" s="450"/>
      <c r="I16" s="222"/>
      <c r="J16" s="235"/>
      <c r="K16" s="236"/>
      <c r="L16" s="237"/>
      <c r="M16" s="423"/>
      <c r="N16" s="424"/>
      <c r="O16" s="424"/>
      <c r="P16" s="424"/>
      <c r="Q16" s="424"/>
      <c r="R16" s="424"/>
      <c r="S16" s="424"/>
      <c r="T16" s="424"/>
      <c r="U16" s="424"/>
      <c r="V16" s="424"/>
      <c r="W16" s="424"/>
      <c r="X16" s="424"/>
      <c r="Y16" s="424"/>
      <c r="Z16" s="424"/>
      <c r="AA16" s="424"/>
      <c r="AB16" s="424"/>
      <c r="AC16" s="424"/>
      <c r="AD16" s="424"/>
      <c r="AE16" s="424"/>
      <c r="AF16" s="424"/>
      <c r="AG16" s="424"/>
      <c r="AH16" s="424"/>
      <c r="AI16" s="424"/>
      <c r="AJ16" s="425"/>
      <c r="AK16" s="168"/>
      <c r="AL16" s="168"/>
      <c r="AM16" s="204"/>
    </row>
    <row r="17" spans="1:39" ht="17.25" customHeight="1">
      <c r="A17" s="500"/>
      <c r="B17" s="190"/>
      <c r="C17" s="268"/>
      <c r="D17" s="238"/>
      <c r="E17" s="222"/>
      <c r="F17" s="493"/>
      <c r="G17" s="494"/>
      <c r="H17" s="495"/>
      <c r="I17" s="222"/>
      <c r="J17" s="223"/>
      <c r="K17" s="224"/>
      <c r="L17" s="225"/>
      <c r="M17" s="513"/>
      <c r="N17" s="424"/>
      <c r="O17" s="424"/>
      <c r="P17" s="424"/>
      <c r="Q17" s="424"/>
      <c r="R17" s="424"/>
      <c r="S17" s="424"/>
      <c r="T17" s="424"/>
      <c r="U17" s="424"/>
      <c r="V17" s="424"/>
      <c r="W17" s="424"/>
      <c r="X17" s="424"/>
      <c r="Y17" s="424"/>
      <c r="Z17" s="424"/>
      <c r="AA17" s="424"/>
      <c r="AB17" s="424"/>
      <c r="AC17" s="424"/>
      <c r="AD17" s="424"/>
      <c r="AE17" s="424"/>
      <c r="AF17" s="424"/>
      <c r="AG17" s="424"/>
      <c r="AH17" s="424"/>
      <c r="AI17" s="424"/>
      <c r="AJ17" s="425"/>
      <c r="AK17" s="168"/>
      <c r="AL17" s="168"/>
      <c r="AM17" s="204"/>
    </row>
    <row r="18" spans="1:39" ht="17.25" customHeight="1">
      <c r="A18" s="500"/>
      <c r="B18" s="190"/>
      <c r="C18" s="268"/>
      <c r="D18" s="238"/>
      <c r="E18" s="222"/>
      <c r="F18" s="448"/>
      <c r="G18" s="449"/>
      <c r="H18" s="450"/>
      <c r="I18" s="222"/>
      <c r="J18" s="223"/>
      <c r="K18" s="224"/>
      <c r="L18" s="225"/>
      <c r="M18" s="423"/>
      <c r="N18" s="424"/>
      <c r="O18" s="424"/>
      <c r="P18" s="424"/>
      <c r="Q18" s="424"/>
      <c r="R18" s="424"/>
      <c r="S18" s="424"/>
      <c r="T18" s="424"/>
      <c r="U18" s="424"/>
      <c r="V18" s="424"/>
      <c r="W18" s="424"/>
      <c r="X18" s="424"/>
      <c r="Y18" s="424"/>
      <c r="Z18" s="424"/>
      <c r="AA18" s="424"/>
      <c r="AB18" s="424"/>
      <c r="AC18" s="424"/>
      <c r="AD18" s="424"/>
      <c r="AE18" s="424"/>
      <c r="AF18" s="424"/>
      <c r="AG18" s="424"/>
      <c r="AH18" s="424"/>
      <c r="AI18" s="424"/>
      <c r="AJ18" s="425"/>
      <c r="AK18" s="168"/>
      <c r="AL18" s="168"/>
      <c r="AM18" s="204"/>
    </row>
    <row r="19" spans="1:39" ht="17.25" customHeight="1">
      <c r="A19" s="500"/>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00"/>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00"/>
      <c r="B21" s="190"/>
      <c r="C21" s="268"/>
      <c r="D21" s="240"/>
      <c r="E21" s="245"/>
      <c r="F21" s="407"/>
      <c r="G21" s="408"/>
      <c r="H21" s="409"/>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00"/>
      <c r="B22" s="190"/>
      <c r="C22" s="268"/>
      <c r="D22" s="244"/>
      <c r="E22" s="245"/>
      <c r="F22" s="492"/>
      <c r="G22" s="408"/>
      <c r="H22" s="409"/>
      <c r="I22" s="307"/>
      <c r="J22" s="246"/>
      <c r="K22" s="243"/>
      <c r="L22" s="242"/>
      <c r="M22" s="515"/>
      <c r="N22" s="516"/>
      <c r="O22" s="516"/>
      <c r="P22" s="516"/>
      <c r="Q22" s="516"/>
      <c r="R22" s="516"/>
      <c r="S22" s="516"/>
      <c r="T22" s="516"/>
      <c r="U22" s="516"/>
      <c r="V22" s="516"/>
      <c r="W22" s="516"/>
      <c r="X22" s="516"/>
      <c r="Y22" s="516"/>
      <c r="Z22" s="516"/>
      <c r="AA22" s="516"/>
      <c r="AB22" s="516"/>
      <c r="AC22" s="516"/>
      <c r="AD22" s="516"/>
      <c r="AE22" s="516"/>
      <c r="AF22" s="516"/>
      <c r="AG22" s="516"/>
      <c r="AH22" s="516"/>
      <c r="AI22" s="516"/>
      <c r="AJ22" s="517"/>
      <c r="AK22" s="168"/>
      <c r="AL22" s="168"/>
      <c r="AM22" s="204"/>
    </row>
    <row r="23" spans="1:39" ht="17.25" customHeight="1">
      <c r="A23" s="500"/>
      <c r="B23" s="190"/>
      <c r="C23" s="268"/>
      <c r="D23" s="240"/>
      <c r="E23" s="241"/>
      <c r="F23" s="442"/>
      <c r="G23" s="443"/>
      <c r="H23" s="444"/>
      <c r="I23" s="308"/>
      <c r="J23" s="242"/>
      <c r="K23" s="243"/>
      <c r="L23" s="242"/>
      <c r="M23" s="417"/>
      <c r="N23" s="418"/>
      <c r="O23" s="418"/>
      <c r="P23" s="418"/>
      <c r="Q23" s="418"/>
      <c r="R23" s="418"/>
      <c r="S23" s="418"/>
      <c r="T23" s="418"/>
      <c r="U23" s="418"/>
      <c r="V23" s="418"/>
      <c r="W23" s="418"/>
      <c r="X23" s="418"/>
      <c r="Y23" s="418"/>
      <c r="Z23" s="418"/>
      <c r="AA23" s="418"/>
      <c r="AB23" s="418"/>
      <c r="AC23" s="418"/>
      <c r="AD23" s="418"/>
      <c r="AE23" s="418"/>
      <c r="AF23" s="418"/>
      <c r="AG23" s="418"/>
      <c r="AH23" s="418"/>
      <c r="AI23" s="418"/>
      <c r="AJ23" s="419"/>
      <c r="AK23" s="168"/>
      <c r="AL23" s="168"/>
      <c r="AM23" s="204"/>
    </row>
    <row r="24" spans="1:39" ht="17.25" customHeight="1">
      <c r="A24" s="500"/>
      <c r="B24" s="190"/>
      <c r="C24" s="268"/>
      <c r="D24" s="244"/>
      <c r="E24" s="245"/>
      <c r="F24" s="407"/>
      <c r="G24" s="408"/>
      <c r="H24" s="409"/>
      <c r="I24" s="309"/>
      <c r="J24" s="248"/>
      <c r="K24" s="247"/>
      <c r="L24" s="248"/>
      <c r="M24" s="417"/>
      <c r="N24" s="418"/>
      <c r="O24" s="418"/>
      <c r="P24" s="418"/>
      <c r="Q24" s="418"/>
      <c r="R24" s="418"/>
      <c r="S24" s="418"/>
      <c r="T24" s="418"/>
      <c r="U24" s="418"/>
      <c r="V24" s="418"/>
      <c r="W24" s="418"/>
      <c r="X24" s="418"/>
      <c r="Y24" s="418"/>
      <c r="Z24" s="418"/>
      <c r="AA24" s="418"/>
      <c r="AB24" s="418"/>
      <c r="AC24" s="418"/>
      <c r="AD24" s="418"/>
      <c r="AE24" s="418"/>
      <c r="AF24" s="418"/>
      <c r="AG24" s="418"/>
      <c r="AH24" s="418"/>
      <c r="AI24" s="418"/>
      <c r="AJ24" s="419"/>
      <c r="AK24" s="168"/>
      <c r="AL24" s="168"/>
      <c r="AM24" s="204"/>
    </row>
    <row r="25" spans="1:39" ht="17.25" customHeight="1">
      <c r="A25" s="500"/>
      <c r="B25" s="190"/>
      <c r="C25" s="268"/>
      <c r="D25" s="240"/>
      <c r="E25" s="241"/>
      <c r="F25" s="442"/>
      <c r="G25" s="443"/>
      <c r="H25" s="444"/>
      <c r="I25" s="308"/>
      <c r="J25" s="242"/>
      <c r="K25" s="243"/>
      <c r="L25" s="242"/>
      <c r="M25" s="417"/>
      <c r="N25" s="418"/>
      <c r="O25" s="418"/>
      <c r="P25" s="418"/>
      <c r="Q25" s="418"/>
      <c r="R25" s="418"/>
      <c r="S25" s="418"/>
      <c r="T25" s="418"/>
      <c r="U25" s="418"/>
      <c r="V25" s="418"/>
      <c r="W25" s="418"/>
      <c r="X25" s="418"/>
      <c r="Y25" s="418"/>
      <c r="Z25" s="418"/>
      <c r="AA25" s="418"/>
      <c r="AB25" s="418"/>
      <c r="AC25" s="418"/>
      <c r="AD25" s="418"/>
      <c r="AE25" s="418"/>
      <c r="AF25" s="418"/>
      <c r="AG25" s="418"/>
      <c r="AH25" s="418"/>
      <c r="AI25" s="418"/>
      <c r="AJ25" s="419"/>
      <c r="AK25" s="168"/>
      <c r="AL25" s="168"/>
      <c r="AM25" s="204"/>
    </row>
    <row r="26" spans="1:39" ht="17.25" customHeight="1">
      <c r="A26" s="500"/>
      <c r="B26" s="190"/>
      <c r="C26" s="268"/>
      <c r="D26" s="244"/>
      <c r="E26" s="245"/>
      <c r="F26" s="407"/>
      <c r="G26" s="408"/>
      <c r="H26" s="409"/>
      <c r="I26" s="309"/>
      <c r="J26" s="246"/>
      <c r="K26" s="247"/>
      <c r="L26" s="248"/>
      <c r="M26" s="417"/>
      <c r="N26" s="418"/>
      <c r="O26" s="418"/>
      <c r="P26" s="418"/>
      <c r="Q26" s="418"/>
      <c r="R26" s="418"/>
      <c r="S26" s="418"/>
      <c r="T26" s="418"/>
      <c r="U26" s="418"/>
      <c r="V26" s="418"/>
      <c r="W26" s="418"/>
      <c r="X26" s="418"/>
      <c r="Y26" s="418"/>
      <c r="Z26" s="418"/>
      <c r="AA26" s="418"/>
      <c r="AB26" s="418"/>
      <c r="AC26" s="418"/>
      <c r="AD26" s="418"/>
      <c r="AE26" s="418"/>
      <c r="AF26" s="418"/>
      <c r="AG26" s="418"/>
      <c r="AH26" s="418"/>
      <c r="AI26" s="418"/>
      <c r="AJ26" s="419"/>
      <c r="AK26" s="168"/>
      <c r="AL26" s="168"/>
      <c r="AM26" s="204"/>
    </row>
    <row r="27" spans="1:39" ht="17.25" customHeight="1">
      <c r="A27" s="500"/>
      <c r="B27" s="190"/>
      <c r="C27" s="268"/>
      <c r="D27" s="240"/>
      <c r="E27" s="241"/>
      <c r="F27" s="442"/>
      <c r="G27" s="443"/>
      <c r="H27" s="444"/>
      <c r="I27" s="308"/>
      <c r="J27" s="242"/>
      <c r="K27" s="243"/>
      <c r="L27" s="242"/>
      <c r="M27" s="417"/>
      <c r="N27" s="418"/>
      <c r="O27" s="418"/>
      <c r="P27" s="418"/>
      <c r="Q27" s="418"/>
      <c r="R27" s="418"/>
      <c r="S27" s="418"/>
      <c r="T27" s="418"/>
      <c r="U27" s="418"/>
      <c r="V27" s="418"/>
      <c r="W27" s="418"/>
      <c r="X27" s="418"/>
      <c r="Y27" s="418"/>
      <c r="Z27" s="418"/>
      <c r="AA27" s="418"/>
      <c r="AB27" s="418"/>
      <c r="AC27" s="418"/>
      <c r="AD27" s="418"/>
      <c r="AE27" s="418"/>
      <c r="AF27" s="418"/>
      <c r="AG27" s="418"/>
      <c r="AH27" s="418"/>
      <c r="AI27" s="418"/>
      <c r="AJ27" s="419"/>
      <c r="AK27" s="168"/>
      <c r="AL27" s="168"/>
      <c r="AM27" s="204"/>
    </row>
    <row r="28" spans="1:39" ht="17.25" customHeight="1">
      <c r="A28" s="500"/>
      <c r="B28" s="190"/>
      <c r="C28" s="268"/>
      <c r="D28" s="244"/>
      <c r="E28" s="245"/>
      <c r="F28" s="407"/>
      <c r="G28" s="408"/>
      <c r="H28" s="409"/>
      <c r="I28" s="309"/>
      <c r="J28" s="248"/>
      <c r="K28" s="247"/>
      <c r="L28" s="248"/>
      <c r="M28" s="417"/>
      <c r="N28" s="418"/>
      <c r="O28" s="418"/>
      <c r="P28" s="418"/>
      <c r="Q28" s="418"/>
      <c r="R28" s="418"/>
      <c r="S28" s="418"/>
      <c r="T28" s="418"/>
      <c r="U28" s="418"/>
      <c r="V28" s="418"/>
      <c r="W28" s="418"/>
      <c r="X28" s="418"/>
      <c r="Y28" s="418"/>
      <c r="Z28" s="418"/>
      <c r="AA28" s="418"/>
      <c r="AB28" s="418"/>
      <c r="AC28" s="418"/>
      <c r="AD28" s="418"/>
      <c r="AE28" s="418"/>
      <c r="AF28" s="418"/>
      <c r="AG28" s="418"/>
      <c r="AH28" s="418"/>
      <c r="AI28" s="418"/>
      <c r="AJ28" s="419"/>
      <c r="AK28" s="168"/>
      <c r="AL28" s="168"/>
      <c r="AM28" s="204"/>
    </row>
    <row r="29" spans="1:39" ht="17.25" customHeight="1">
      <c r="A29" s="500"/>
      <c r="B29" s="190"/>
      <c r="C29" s="268"/>
      <c r="D29" s="240"/>
      <c r="E29" s="241"/>
      <c r="F29" s="442"/>
      <c r="G29" s="443"/>
      <c r="H29" s="444"/>
      <c r="I29" s="308"/>
      <c r="J29" s="250"/>
      <c r="K29" s="243"/>
      <c r="L29" s="250"/>
      <c r="M29" s="417"/>
      <c r="N29" s="418"/>
      <c r="O29" s="418"/>
      <c r="P29" s="418"/>
      <c r="Q29" s="418"/>
      <c r="R29" s="418"/>
      <c r="S29" s="418"/>
      <c r="T29" s="418"/>
      <c r="U29" s="418"/>
      <c r="V29" s="418"/>
      <c r="W29" s="418"/>
      <c r="X29" s="418"/>
      <c r="Y29" s="418"/>
      <c r="Z29" s="418"/>
      <c r="AA29" s="418"/>
      <c r="AB29" s="418"/>
      <c r="AC29" s="418"/>
      <c r="AD29" s="418"/>
      <c r="AE29" s="418"/>
      <c r="AF29" s="418"/>
      <c r="AG29" s="418"/>
      <c r="AH29" s="418"/>
      <c r="AI29" s="418"/>
      <c r="AJ29" s="419"/>
      <c r="AK29" s="168"/>
      <c r="AL29" s="168"/>
      <c r="AM29" s="204"/>
    </row>
    <row r="30" spans="1:39" ht="17.25" customHeight="1">
      <c r="A30" s="501"/>
      <c r="B30" s="190"/>
      <c r="C30" s="268"/>
      <c r="D30" s="244"/>
      <c r="E30" s="245"/>
      <c r="F30" s="407"/>
      <c r="G30" s="408"/>
      <c r="H30" s="409"/>
      <c r="I30" s="309"/>
      <c r="J30" s="251"/>
      <c r="K30" s="247"/>
      <c r="L30" s="251"/>
      <c r="M30" s="502"/>
      <c r="N30" s="486"/>
      <c r="O30" s="486"/>
      <c r="P30" s="486"/>
      <c r="Q30" s="486"/>
      <c r="R30" s="486"/>
      <c r="S30" s="486"/>
      <c r="T30" s="486"/>
      <c r="U30" s="486"/>
      <c r="V30" s="486"/>
      <c r="W30" s="486"/>
      <c r="X30" s="486"/>
      <c r="Y30" s="486"/>
      <c r="Z30" s="486"/>
      <c r="AA30" s="486"/>
      <c r="AB30" s="486"/>
      <c r="AC30" s="486"/>
      <c r="AD30" s="486"/>
      <c r="AE30" s="486"/>
      <c r="AF30" s="486"/>
      <c r="AG30" s="486"/>
      <c r="AH30" s="486"/>
      <c r="AI30" s="486"/>
      <c r="AJ30" s="487"/>
      <c r="AK30" s="168"/>
      <c r="AL30" s="168"/>
      <c r="AM30" s="204"/>
    </row>
    <row r="31" spans="1:39" ht="17.25" customHeight="1">
      <c r="A31" s="479"/>
      <c r="B31" s="190"/>
      <c r="C31" s="268"/>
      <c r="D31" s="252"/>
      <c r="E31" s="241"/>
      <c r="F31" s="410"/>
      <c r="G31" s="411"/>
      <c r="H31" s="412"/>
      <c r="I31" s="310"/>
      <c r="J31" s="253"/>
      <c r="K31" s="254"/>
      <c r="L31" s="253"/>
      <c r="M31" s="462"/>
      <c r="N31" s="463"/>
      <c r="O31" s="463"/>
      <c r="P31" s="463"/>
      <c r="Q31" s="463"/>
      <c r="R31" s="463"/>
      <c r="S31" s="463"/>
      <c r="T31" s="463"/>
      <c r="U31" s="463"/>
      <c r="V31" s="463"/>
      <c r="W31" s="463"/>
      <c r="X31" s="463"/>
      <c r="Y31" s="463"/>
      <c r="Z31" s="463"/>
      <c r="AA31" s="463"/>
      <c r="AB31" s="463"/>
      <c r="AC31" s="463"/>
      <c r="AD31" s="463"/>
      <c r="AE31" s="463"/>
      <c r="AF31" s="463"/>
      <c r="AG31" s="463"/>
      <c r="AH31" s="463"/>
      <c r="AI31" s="463"/>
      <c r="AJ31" s="464"/>
      <c r="AK31" s="168"/>
      <c r="AL31" s="168"/>
      <c r="AM31" s="204"/>
    </row>
    <row r="32" spans="1:39" ht="17.25" customHeight="1">
      <c r="A32" s="480"/>
      <c r="B32" s="190"/>
      <c r="C32" s="268"/>
      <c r="D32" s="255"/>
      <c r="E32" s="245"/>
      <c r="F32" s="462"/>
      <c r="G32" s="463"/>
      <c r="H32" s="464"/>
      <c r="I32" s="311"/>
      <c r="J32" s="256"/>
      <c r="K32" s="249"/>
      <c r="L32" s="256"/>
      <c r="M32" s="462"/>
      <c r="N32" s="463"/>
      <c r="O32" s="463"/>
      <c r="P32" s="463"/>
      <c r="Q32" s="463"/>
      <c r="R32" s="463"/>
      <c r="S32" s="463"/>
      <c r="T32" s="463"/>
      <c r="U32" s="463"/>
      <c r="V32" s="463"/>
      <c r="W32" s="463"/>
      <c r="X32" s="463"/>
      <c r="Y32" s="463"/>
      <c r="Z32" s="463"/>
      <c r="AA32" s="463"/>
      <c r="AB32" s="463"/>
      <c r="AC32" s="463"/>
      <c r="AD32" s="463"/>
      <c r="AE32" s="463"/>
      <c r="AF32" s="463"/>
      <c r="AG32" s="463"/>
      <c r="AH32" s="463"/>
      <c r="AI32" s="463"/>
      <c r="AJ32" s="464"/>
      <c r="AK32" s="168"/>
      <c r="AL32" s="168"/>
      <c r="AM32" s="204"/>
    </row>
    <row r="33" spans="1:39" ht="17.25" customHeight="1">
      <c r="A33" s="480"/>
      <c r="B33" s="190"/>
      <c r="C33" s="268"/>
      <c r="D33" s="240"/>
      <c r="E33" s="241"/>
      <c r="F33" s="442"/>
      <c r="G33" s="443"/>
      <c r="H33" s="444"/>
      <c r="I33" s="308"/>
      <c r="J33" s="250"/>
      <c r="K33" s="257"/>
      <c r="L33" s="250"/>
      <c r="M33" s="417"/>
      <c r="N33" s="418"/>
      <c r="O33" s="418"/>
      <c r="P33" s="418"/>
      <c r="Q33" s="418"/>
      <c r="R33" s="418"/>
      <c r="S33" s="418"/>
      <c r="T33" s="418"/>
      <c r="U33" s="418"/>
      <c r="V33" s="418"/>
      <c r="W33" s="418"/>
      <c r="X33" s="418"/>
      <c r="Y33" s="418"/>
      <c r="Z33" s="418"/>
      <c r="AA33" s="418"/>
      <c r="AB33" s="418"/>
      <c r="AC33" s="418"/>
      <c r="AD33" s="418"/>
      <c r="AE33" s="418"/>
      <c r="AF33" s="418"/>
      <c r="AG33" s="418"/>
      <c r="AH33" s="418"/>
      <c r="AI33" s="418"/>
      <c r="AJ33" s="419"/>
      <c r="AK33" s="168"/>
      <c r="AL33" s="168"/>
      <c r="AM33" s="204"/>
    </row>
    <row r="34" spans="1:39" ht="17.25" customHeight="1">
      <c r="A34" s="480"/>
      <c r="B34" s="190"/>
      <c r="C34" s="268"/>
      <c r="D34" s="244"/>
      <c r="E34" s="245"/>
      <c r="F34" s="407"/>
      <c r="G34" s="408"/>
      <c r="H34" s="409"/>
      <c r="I34" s="309"/>
      <c r="J34" s="251"/>
      <c r="K34" s="258"/>
      <c r="L34" s="251"/>
      <c r="M34" s="502"/>
      <c r="N34" s="486"/>
      <c r="O34" s="486"/>
      <c r="P34" s="486"/>
      <c r="Q34" s="486"/>
      <c r="R34" s="486"/>
      <c r="S34" s="486"/>
      <c r="T34" s="486"/>
      <c r="U34" s="486"/>
      <c r="V34" s="486"/>
      <c r="W34" s="486"/>
      <c r="X34" s="486"/>
      <c r="Y34" s="486"/>
      <c r="Z34" s="486"/>
      <c r="AA34" s="486"/>
      <c r="AB34" s="486"/>
      <c r="AC34" s="486"/>
      <c r="AD34" s="486"/>
      <c r="AE34" s="486"/>
      <c r="AF34" s="486"/>
      <c r="AG34" s="486"/>
      <c r="AH34" s="486"/>
      <c r="AI34" s="486"/>
      <c r="AJ34" s="487"/>
      <c r="AK34" s="168"/>
      <c r="AL34" s="168"/>
      <c r="AM34" s="204"/>
    </row>
    <row r="35" spans="1:39" ht="17.25" customHeight="1">
      <c r="A35" s="480"/>
      <c r="B35" s="190"/>
      <c r="C35" s="268"/>
      <c r="D35" s="252"/>
      <c r="E35" s="241"/>
      <c r="F35" s="410"/>
      <c r="G35" s="411"/>
      <c r="H35" s="412"/>
      <c r="I35" s="310"/>
      <c r="J35" s="259"/>
      <c r="K35" s="241"/>
      <c r="L35" s="260"/>
      <c r="M35" s="462"/>
      <c r="N35" s="463"/>
      <c r="O35" s="463"/>
      <c r="P35" s="463"/>
      <c r="Q35" s="463"/>
      <c r="R35" s="463"/>
      <c r="S35" s="463"/>
      <c r="T35" s="463"/>
      <c r="U35" s="463"/>
      <c r="V35" s="463"/>
      <c r="W35" s="463"/>
      <c r="X35" s="463"/>
      <c r="Y35" s="463"/>
      <c r="Z35" s="463"/>
      <c r="AA35" s="463"/>
      <c r="AB35" s="463"/>
      <c r="AC35" s="463"/>
      <c r="AD35" s="463"/>
      <c r="AE35" s="463"/>
      <c r="AF35" s="463"/>
      <c r="AG35" s="463"/>
      <c r="AH35" s="463"/>
      <c r="AI35" s="463"/>
      <c r="AJ35" s="464"/>
      <c r="AK35" s="168"/>
      <c r="AL35" s="168"/>
      <c r="AM35" s="204"/>
    </row>
    <row r="36" spans="1:39" ht="17.25" customHeight="1">
      <c r="A36" s="480"/>
      <c r="B36" s="190"/>
      <c r="C36" s="268"/>
      <c r="D36" s="261"/>
      <c r="E36" s="245"/>
      <c r="F36" s="404"/>
      <c r="G36" s="405"/>
      <c r="H36" s="406"/>
      <c r="I36" s="311"/>
      <c r="J36" s="262"/>
      <c r="K36" s="245"/>
      <c r="L36" s="262"/>
      <c r="M36" s="462"/>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464"/>
      <c r="AK36" s="168"/>
      <c r="AL36" s="168"/>
      <c r="AM36" s="204"/>
    </row>
    <row r="37" spans="1:39" ht="17.25" customHeight="1">
      <c r="A37" s="480"/>
      <c r="B37" s="190"/>
      <c r="C37" s="268"/>
      <c r="D37" s="263"/>
      <c r="E37" s="241"/>
      <c r="F37" s="414"/>
      <c r="G37" s="415"/>
      <c r="H37" s="416"/>
      <c r="I37" s="310"/>
      <c r="J37" s="260"/>
      <c r="K37" s="241"/>
      <c r="L37" s="260"/>
      <c r="M37" s="462"/>
      <c r="N37" s="463"/>
      <c r="O37" s="463"/>
      <c r="P37" s="463"/>
      <c r="Q37" s="463"/>
      <c r="R37" s="463"/>
      <c r="S37" s="463"/>
      <c r="T37" s="463"/>
      <c r="U37" s="463"/>
      <c r="V37" s="463"/>
      <c r="W37" s="463"/>
      <c r="X37" s="463"/>
      <c r="Y37" s="463"/>
      <c r="Z37" s="463"/>
      <c r="AA37" s="463"/>
      <c r="AB37" s="463"/>
      <c r="AC37" s="463"/>
      <c r="AD37" s="463"/>
      <c r="AE37" s="463"/>
      <c r="AF37" s="463"/>
      <c r="AG37" s="463"/>
      <c r="AH37" s="463"/>
      <c r="AI37" s="463"/>
      <c r="AJ37" s="464"/>
      <c r="AK37" s="168"/>
      <c r="AL37" s="168"/>
      <c r="AM37" s="204"/>
    </row>
    <row r="38" spans="1:39" ht="17.25" customHeight="1">
      <c r="A38" s="480"/>
      <c r="B38" s="190"/>
      <c r="C38" s="268"/>
      <c r="D38" s="261"/>
      <c r="E38" s="245"/>
      <c r="F38" s="404"/>
      <c r="G38" s="405"/>
      <c r="H38" s="406"/>
      <c r="I38" s="311"/>
      <c r="J38" s="262"/>
      <c r="K38" s="245"/>
      <c r="L38" s="262"/>
      <c r="M38" s="462"/>
      <c r="N38" s="463"/>
      <c r="O38" s="463"/>
      <c r="P38" s="463"/>
      <c r="Q38" s="463"/>
      <c r="R38" s="463"/>
      <c r="S38" s="463"/>
      <c r="T38" s="463"/>
      <c r="U38" s="463"/>
      <c r="V38" s="463"/>
      <c r="W38" s="463"/>
      <c r="X38" s="463"/>
      <c r="Y38" s="463"/>
      <c r="Z38" s="463"/>
      <c r="AA38" s="463"/>
      <c r="AB38" s="463"/>
      <c r="AC38" s="463"/>
      <c r="AD38" s="463"/>
      <c r="AE38" s="463"/>
      <c r="AF38" s="463"/>
      <c r="AG38" s="463"/>
      <c r="AH38" s="463"/>
      <c r="AI38" s="463"/>
      <c r="AJ38" s="464"/>
      <c r="AK38" s="168"/>
      <c r="AL38" s="168"/>
      <c r="AM38" s="204"/>
    </row>
    <row r="39" spans="1:39" ht="17.25" customHeight="1">
      <c r="A39" s="480"/>
      <c r="B39" s="190"/>
      <c r="C39" s="268"/>
      <c r="D39" s="263"/>
      <c r="E39" s="241"/>
      <c r="F39" s="414"/>
      <c r="G39" s="415"/>
      <c r="H39" s="416"/>
      <c r="I39" s="310"/>
      <c r="J39" s="260"/>
      <c r="K39" s="241"/>
      <c r="L39" s="260"/>
      <c r="M39" s="462"/>
      <c r="N39" s="463"/>
      <c r="O39" s="463"/>
      <c r="P39" s="463"/>
      <c r="Q39" s="463"/>
      <c r="R39" s="463"/>
      <c r="S39" s="463"/>
      <c r="T39" s="463"/>
      <c r="U39" s="463"/>
      <c r="V39" s="463"/>
      <c r="W39" s="463"/>
      <c r="X39" s="463"/>
      <c r="Y39" s="463"/>
      <c r="Z39" s="463"/>
      <c r="AA39" s="463"/>
      <c r="AB39" s="463"/>
      <c r="AC39" s="463"/>
      <c r="AD39" s="463"/>
      <c r="AE39" s="463"/>
      <c r="AF39" s="463"/>
      <c r="AG39" s="463"/>
      <c r="AH39" s="463"/>
      <c r="AI39" s="463"/>
      <c r="AJ39" s="464"/>
      <c r="AK39" s="168"/>
      <c r="AL39" s="168"/>
      <c r="AM39" s="204"/>
    </row>
    <row r="40" spans="1:39" ht="17.25" customHeight="1">
      <c r="A40" s="480"/>
      <c r="B40" s="190"/>
      <c r="C40" s="268"/>
      <c r="D40" s="261"/>
      <c r="E40" s="245"/>
      <c r="F40" s="404"/>
      <c r="G40" s="405"/>
      <c r="H40" s="406"/>
      <c r="I40" s="311"/>
      <c r="J40" s="262"/>
      <c r="K40" s="245"/>
      <c r="L40" s="262"/>
      <c r="M40" s="462"/>
      <c r="N40" s="463"/>
      <c r="O40" s="463"/>
      <c r="P40" s="463"/>
      <c r="Q40" s="463"/>
      <c r="R40" s="463"/>
      <c r="S40" s="463"/>
      <c r="T40" s="463"/>
      <c r="U40" s="463"/>
      <c r="V40" s="463"/>
      <c r="W40" s="463"/>
      <c r="X40" s="463"/>
      <c r="Y40" s="463"/>
      <c r="Z40" s="463"/>
      <c r="AA40" s="463"/>
      <c r="AB40" s="463"/>
      <c r="AC40" s="463"/>
      <c r="AD40" s="463"/>
      <c r="AE40" s="463"/>
      <c r="AF40" s="463"/>
      <c r="AG40" s="463"/>
      <c r="AH40" s="463"/>
      <c r="AI40" s="463"/>
      <c r="AJ40" s="464"/>
      <c r="AK40" s="168"/>
      <c r="AL40" s="168"/>
      <c r="AM40" s="204"/>
    </row>
    <row r="41" spans="1:39" ht="17.25" customHeight="1">
      <c r="A41" s="480"/>
      <c r="B41" s="190"/>
      <c r="C41" s="268"/>
      <c r="D41" s="263"/>
      <c r="E41" s="241"/>
      <c r="F41" s="414"/>
      <c r="G41" s="415"/>
      <c r="H41" s="416"/>
      <c r="I41" s="310"/>
      <c r="J41" s="260"/>
      <c r="K41" s="241"/>
      <c r="L41" s="260"/>
      <c r="M41" s="462"/>
      <c r="N41" s="463"/>
      <c r="O41" s="463"/>
      <c r="P41" s="463"/>
      <c r="Q41" s="463"/>
      <c r="R41" s="463"/>
      <c r="S41" s="463"/>
      <c r="T41" s="463"/>
      <c r="U41" s="463"/>
      <c r="V41" s="463"/>
      <c r="W41" s="463"/>
      <c r="X41" s="463"/>
      <c r="Y41" s="463"/>
      <c r="Z41" s="463"/>
      <c r="AA41" s="463"/>
      <c r="AB41" s="463"/>
      <c r="AC41" s="463"/>
      <c r="AD41" s="463"/>
      <c r="AE41" s="463"/>
      <c r="AF41" s="463"/>
      <c r="AG41" s="463"/>
      <c r="AH41" s="463"/>
      <c r="AI41" s="463"/>
      <c r="AJ41" s="464"/>
      <c r="AK41" s="168"/>
      <c r="AL41" s="168"/>
      <c r="AM41" s="204"/>
    </row>
    <row r="42" spans="1:39" ht="17.25" customHeight="1">
      <c r="A42" s="480"/>
      <c r="B42" s="190"/>
      <c r="C42" s="268"/>
      <c r="D42" s="261"/>
      <c r="E42" s="245"/>
      <c r="F42" s="404"/>
      <c r="G42" s="405"/>
      <c r="H42" s="406"/>
      <c r="I42" s="311"/>
      <c r="J42" s="262"/>
      <c r="K42" s="245"/>
      <c r="L42" s="262"/>
      <c r="M42" s="462"/>
      <c r="N42" s="463"/>
      <c r="O42" s="463"/>
      <c r="P42" s="463"/>
      <c r="Q42" s="463"/>
      <c r="R42" s="463"/>
      <c r="S42" s="463"/>
      <c r="T42" s="463"/>
      <c r="U42" s="463"/>
      <c r="V42" s="463"/>
      <c r="W42" s="463"/>
      <c r="X42" s="463"/>
      <c r="Y42" s="463"/>
      <c r="Z42" s="463"/>
      <c r="AA42" s="463"/>
      <c r="AB42" s="463"/>
      <c r="AC42" s="463"/>
      <c r="AD42" s="463"/>
      <c r="AE42" s="463"/>
      <c r="AF42" s="463"/>
      <c r="AG42" s="463"/>
      <c r="AH42" s="463"/>
      <c r="AI42" s="463"/>
      <c r="AJ42" s="464"/>
      <c r="AK42" s="168"/>
      <c r="AL42" s="168"/>
      <c r="AM42" s="204"/>
    </row>
    <row r="43" spans="1:39" ht="17.25" customHeight="1">
      <c r="A43" s="480"/>
      <c r="B43" s="190"/>
      <c r="C43" s="268"/>
      <c r="D43" s="263"/>
      <c r="E43" s="241"/>
      <c r="F43" s="414"/>
      <c r="G43" s="415"/>
      <c r="H43" s="416"/>
      <c r="I43" s="310"/>
      <c r="J43" s="260"/>
      <c r="K43" s="241"/>
      <c r="L43" s="260"/>
      <c r="M43" s="462"/>
      <c r="N43" s="463"/>
      <c r="O43" s="463"/>
      <c r="P43" s="463"/>
      <c r="Q43" s="463"/>
      <c r="R43" s="463"/>
      <c r="S43" s="463"/>
      <c r="T43" s="463"/>
      <c r="U43" s="463"/>
      <c r="V43" s="463"/>
      <c r="W43" s="463"/>
      <c r="X43" s="463"/>
      <c r="Y43" s="463"/>
      <c r="Z43" s="463"/>
      <c r="AA43" s="463"/>
      <c r="AB43" s="463"/>
      <c r="AC43" s="463"/>
      <c r="AD43" s="463"/>
      <c r="AE43" s="463"/>
      <c r="AF43" s="463"/>
      <c r="AG43" s="463"/>
      <c r="AH43" s="463"/>
      <c r="AI43" s="463"/>
      <c r="AJ43" s="464"/>
      <c r="AK43" s="168"/>
      <c r="AL43" s="168"/>
      <c r="AM43" s="204"/>
    </row>
    <row r="44" spans="1:39" ht="17.25" customHeight="1">
      <c r="A44" s="480"/>
      <c r="B44" s="190"/>
      <c r="C44" s="268"/>
      <c r="D44" s="261"/>
      <c r="E44" s="245"/>
      <c r="F44" s="404"/>
      <c r="G44" s="405"/>
      <c r="H44" s="406"/>
      <c r="I44" s="311"/>
      <c r="J44" s="262"/>
      <c r="K44" s="245"/>
      <c r="L44" s="262"/>
      <c r="M44" s="462"/>
      <c r="N44" s="463"/>
      <c r="O44" s="463"/>
      <c r="P44" s="463"/>
      <c r="Q44" s="463"/>
      <c r="R44" s="463"/>
      <c r="S44" s="463"/>
      <c r="T44" s="463"/>
      <c r="U44" s="463"/>
      <c r="V44" s="463"/>
      <c r="W44" s="463"/>
      <c r="X44" s="463"/>
      <c r="Y44" s="463"/>
      <c r="Z44" s="463"/>
      <c r="AA44" s="463"/>
      <c r="AB44" s="463"/>
      <c r="AC44" s="463"/>
      <c r="AD44" s="463"/>
      <c r="AE44" s="463"/>
      <c r="AF44" s="463"/>
      <c r="AG44" s="463"/>
      <c r="AH44" s="463"/>
      <c r="AI44" s="463"/>
      <c r="AJ44" s="464"/>
      <c r="AK44" s="168"/>
      <c r="AL44" s="168"/>
      <c r="AM44" s="204"/>
    </row>
    <row r="45" spans="1:39" ht="17.25" customHeight="1">
      <c r="A45" s="480"/>
      <c r="B45" s="190"/>
      <c r="C45" s="268"/>
      <c r="D45" s="263"/>
      <c r="E45" s="241"/>
      <c r="F45" s="414"/>
      <c r="G45" s="415"/>
      <c r="H45" s="416"/>
      <c r="I45" s="310"/>
      <c r="J45" s="260"/>
      <c r="K45" s="241"/>
      <c r="L45" s="260"/>
      <c r="M45" s="462"/>
      <c r="N45" s="463"/>
      <c r="O45" s="463"/>
      <c r="P45" s="463"/>
      <c r="Q45" s="463"/>
      <c r="R45" s="463"/>
      <c r="S45" s="463"/>
      <c r="T45" s="463"/>
      <c r="U45" s="463"/>
      <c r="V45" s="463"/>
      <c r="W45" s="463"/>
      <c r="X45" s="463"/>
      <c r="Y45" s="463"/>
      <c r="Z45" s="463"/>
      <c r="AA45" s="463"/>
      <c r="AB45" s="463"/>
      <c r="AC45" s="463"/>
      <c r="AD45" s="463"/>
      <c r="AE45" s="463"/>
      <c r="AF45" s="463"/>
      <c r="AG45" s="463"/>
      <c r="AH45" s="463"/>
      <c r="AI45" s="463"/>
      <c r="AJ45" s="464"/>
      <c r="AK45" s="168"/>
      <c r="AL45" s="168"/>
      <c r="AM45" s="204"/>
    </row>
    <row r="46" spans="1:39" ht="17.25" customHeight="1">
      <c r="A46" s="480"/>
      <c r="B46" s="190"/>
      <c r="C46" s="268"/>
      <c r="D46" s="261"/>
      <c r="E46" s="245"/>
      <c r="F46" s="404"/>
      <c r="G46" s="405"/>
      <c r="H46" s="406"/>
      <c r="I46" s="311"/>
      <c r="J46" s="262"/>
      <c r="K46" s="245"/>
      <c r="L46" s="262"/>
      <c r="M46" s="462"/>
      <c r="N46" s="463"/>
      <c r="O46" s="463"/>
      <c r="P46" s="463"/>
      <c r="Q46" s="463"/>
      <c r="R46" s="463"/>
      <c r="S46" s="463"/>
      <c r="T46" s="463"/>
      <c r="U46" s="463"/>
      <c r="V46" s="463"/>
      <c r="W46" s="463"/>
      <c r="X46" s="463"/>
      <c r="Y46" s="463"/>
      <c r="Z46" s="463"/>
      <c r="AA46" s="463"/>
      <c r="AB46" s="463"/>
      <c r="AC46" s="463"/>
      <c r="AD46" s="463"/>
      <c r="AE46" s="463"/>
      <c r="AF46" s="463"/>
      <c r="AG46" s="463"/>
      <c r="AH46" s="463"/>
      <c r="AI46" s="463"/>
      <c r="AJ46" s="464"/>
      <c r="AK46" s="168"/>
      <c r="AL46" s="168"/>
      <c r="AM46" s="204"/>
    </row>
    <row r="47" spans="1:39" ht="17.25" customHeight="1">
      <c r="A47" s="480"/>
      <c r="B47" s="190"/>
      <c r="C47" s="268"/>
      <c r="D47" s="264"/>
      <c r="E47" s="265"/>
      <c r="F47" s="414"/>
      <c r="G47" s="415"/>
      <c r="H47" s="416"/>
      <c r="I47" s="312"/>
      <c r="J47" s="266"/>
      <c r="K47" s="265"/>
      <c r="L47" s="266"/>
      <c r="M47" s="462"/>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4"/>
      <c r="AK47" s="168"/>
      <c r="AL47" s="168"/>
      <c r="AM47" s="204"/>
    </row>
    <row r="48" spans="1:39" ht="17.25" customHeight="1">
      <c r="A48" s="480"/>
      <c r="B48" s="190"/>
      <c r="C48" s="250"/>
      <c r="D48" s="263"/>
      <c r="E48" s="241"/>
      <c r="F48" s="404"/>
      <c r="G48" s="405"/>
      <c r="H48" s="406"/>
      <c r="I48" s="310"/>
      <c r="J48" s="260"/>
      <c r="K48" s="241"/>
      <c r="L48" s="260"/>
      <c r="M48" s="462"/>
      <c r="N48" s="463"/>
      <c r="O48" s="463"/>
      <c r="P48" s="463"/>
      <c r="Q48" s="463"/>
      <c r="R48" s="463"/>
      <c r="S48" s="463"/>
      <c r="T48" s="463"/>
      <c r="U48" s="463"/>
      <c r="V48" s="463"/>
      <c r="W48" s="463"/>
      <c r="X48" s="463"/>
      <c r="Y48" s="463"/>
      <c r="Z48" s="463"/>
      <c r="AA48" s="463"/>
      <c r="AB48" s="463"/>
      <c r="AC48" s="463"/>
      <c r="AD48" s="463"/>
      <c r="AE48" s="463"/>
      <c r="AF48" s="463"/>
      <c r="AG48" s="463"/>
      <c r="AH48" s="463"/>
      <c r="AI48" s="463"/>
      <c r="AJ48" s="464"/>
      <c r="AK48" s="168"/>
      <c r="AL48" s="168"/>
      <c r="AM48" s="204"/>
    </row>
    <row r="49" spans="1:39" ht="17.25" customHeight="1">
      <c r="A49" s="480"/>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80"/>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80"/>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80"/>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40" t="s">
        <v>24</v>
      </c>
      <c r="AI52" s="440"/>
      <c r="AJ52" s="440"/>
      <c r="AK52" s="168"/>
      <c r="AL52" s="168"/>
      <c r="AM52" s="204"/>
    </row>
    <row r="53" spans="1:39" ht="17.25" customHeight="1">
      <c r="A53" s="480"/>
      <c r="B53" s="190"/>
      <c r="AH53" s="440"/>
      <c r="AI53" s="441"/>
      <c r="AJ53" s="441"/>
      <c r="AK53" s="211"/>
      <c r="AL53" s="168"/>
      <c r="AM53" s="204"/>
    </row>
    <row r="54" spans="1:39" ht="17.25" customHeight="1">
      <c r="A54" s="480"/>
      <c r="B54" s="190"/>
      <c r="D54" s="164"/>
      <c r="E54" s="164"/>
      <c r="F54" s="165"/>
      <c r="G54" s="166"/>
      <c r="H54" s="166"/>
      <c r="AB54" s="437" t="s">
        <v>1658</v>
      </c>
      <c r="AC54" s="438"/>
      <c r="AD54" s="438"/>
      <c r="AE54" s="438"/>
      <c r="AF54" s="438"/>
      <c r="AG54" s="438"/>
      <c r="AH54" s="438"/>
      <c r="AI54" s="438"/>
      <c r="AJ54" s="438"/>
      <c r="AK54" s="439"/>
      <c r="AL54" s="168"/>
      <c r="AM54" s="204"/>
    </row>
    <row r="55" spans="1:39" ht="17.25" customHeight="1">
      <c r="A55" s="480"/>
      <c r="B55" s="451"/>
      <c r="C55" s="452"/>
      <c r="D55" s="452"/>
      <c r="E55" s="452"/>
      <c r="F55" s="453"/>
      <c r="G55" s="167"/>
      <c r="H55" s="170" t="s">
        <v>0</v>
      </c>
      <c r="I55" s="171"/>
      <c r="J55" s="161"/>
      <c r="K55" s="161"/>
      <c r="L55" s="167"/>
      <c r="M55" s="413" t="s">
        <v>47</v>
      </c>
      <c r="N55" s="413"/>
      <c r="O55" s="470" t="str">
        <f>IF(ISNUMBER(VALUE(RIGHT(O57,4))),RIGHT(O57,4),"Stationsbezeichnung ungültig / invalid station name")</f>
        <v>1340</v>
      </c>
      <c r="P55" s="471"/>
      <c r="Q55" s="471"/>
      <c r="R55" s="471"/>
      <c r="S55" s="472"/>
      <c r="T55" s="476" t="s">
        <v>13</v>
      </c>
      <c r="U55" s="413" t="s">
        <v>2</v>
      </c>
      <c r="V55" s="413"/>
      <c r="W55" s="172"/>
      <c r="X55" s="430" t="s">
        <v>1651</v>
      </c>
      <c r="Y55" s="431"/>
      <c r="Z55" s="469" t="s">
        <v>3</v>
      </c>
      <c r="AA55" s="469"/>
      <c r="AB55" s="435">
        <v>6</v>
      </c>
      <c r="AD55" s="161"/>
      <c r="AE55" s="161"/>
      <c r="AF55" s="193" t="s">
        <v>11</v>
      </c>
      <c r="AG55" s="193"/>
      <c r="AH55" s="187"/>
      <c r="AI55" s="167"/>
      <c r="AJ55" s="195" t="s">
        <v>4</v>
      </c>
      <c r="AK55" s="195" t="s">
        <v>5</v>
      </c>
      <c r="AL55" s="167"/>
      <c r="AM55" s="204"/>
    </row>
    <row r="56" spans="1:39" ht="17.25" customHeight="1">
      <c r="A56" s="480"/>
      <c r="B56" s="454"/>
      <c r="C56" s="455"/>
      <c r="D56" s="455"/>
      <c r="E56" s="455"/>
      <c r="F56" s="456"/>
      <c r="G56" s="168"/>
      <c r="H56" s="445" t="s">
        <v>31</v>
      </c>
      <c r="I56" s="446"/>
      <c r="J56" s="446"/>
      <c r="K56" s="446"/>
      <c r="L56" s="447"/>
      <c r="M56" s="413" t="s">
        <v>15</v>
      </c>
      <c r="N56" s="413"/>
      <c r="O56" s="473"/>
      <c r="P56" s="474"/>
      <c r="Q56" s="474"/>
      <c r="R56" s="474"/>
      <c r="S56" s="475"/>
      <c r="T56" s="477"/>
      <c r="U56" s="413" t="s">
        <v>52</v>
      </c>
      <c r="V56" s="413"/>
      <c r="W56" s="173"/>
      <c r="X56" s="433"/>
      <c r="Y56" s="434"/>
      <c r="Z56" s="428" t="s">
        <v>1263</v>
      </c>
      <c r="AA56" s="428"/>
      <c r="AB56" s="436"/>
      <c r="AF56" s="200" t="s">
        <v>58</v>
      </c>
      <c r="AG56" s="201"/>
      <c r="AH56" s="188"/>
      <c r="AI56" s="168"/>
      <c r="AJ56" s="202" t="s">
        <v>55</v>
      </c>
      <c r="AK56" s="212" t="s">
        <v>43</v>
      </c>
      <c r="AL56" s="168"/>
      <c r="AM56" s="204"/>
    </row>
    <row r="57" spans="1:39" ht="17.25" customHeight="1">
      <c r="A57" s="480"/>
      <c r="B57" s="454"/>
      <c r="C57" s="455"/>
      <c r="D57" s="455"/>
      <c r="E57" s="455"/>
      <c r="F57" s="456"/>
      <c r="G57" s="169"/>
      <c r="H57" s="194"/>
      <c r="I57" s="191"/>
      <c r="J57" s="191"/>
      <c r="K57" s="191"/>
      <c r="L57" s="192"/>
      <c r="M57" s="413" t="s">
        <v>48</v>
      </c>
      <c r="N57" s="413"/>
      <c r="O57" s="429" t="s">
        <v>1671</v>
      </c>
      <c r="P57" s="430"/>
      <c r="Q57" s="430"/>
      <c r="R57" s="430"/>
      <c r="S57" s="431"/>
      <c r="T57" s="478"/>
      <c r="U57" s="413" t="s">
        <v>7</v>
      </c>
      <c r="V57" s="413"/>
      <c r="W57" s="175"/>
      <c r="X57" s="430" t="s">
        <v>1640</v>
      </c>
      <c r="Y57" s="431"/>
      <c r="Z57" s="267" t="s">
        <v>8</v>
      </c>
      <c r="AA57" s="465">
        <v>45014</v>
      </c>
      <c r="AB57" s="466"/>
      <c r="AC57" s="176"/>
      <c r="AD57" s="163"/>
      <c r="AE57" s="163"/>
      <c r="AF57" s="215"/>
      <c r="AG57" s="215"/>
      <c r="AH57" s="215"/>
      <c r="AI57" s="216"/>
      <c r="AJ57" s="213"/>
      <c r="AK57" s="168"/>
      <c r="AL57" s="168"/>
      <c r="AM57" s="204"/>
    </row>
    <row r="58" spans="1:39" ht="18" customHeight="1">
      <c r="A58" s="480"/>
      <c r="B58" s="454"/>
      <c r="C58" s="455"/>
      <c r="D58" s="455"/>
      <c r="E58" s="455"/>
      <c r="F58" s="456"/>
      <c r="G58" s="167"/>
      <c r="H58" s="170" t="s">
        <v>56</v>
      </c>
      <c r="I58" s="171"/>
      <c r="J58" s="161"/>
      <c r="K58" s="161"/>
      <c r="L58" s="167"/>
      <c r="M58" s="413" t="s">
        <v>49</v>
      </c>
      <c r="N58" s="413"/>
      <c r="O58" s="432"/>
      <c r="P58" s="433"/>
      <c r="Q58" s="433"/>
      <c r="R58" s="433"/>
      <c r="S58" s="434"/>
      <c r="T58" s="476" t="s">
        <v>51</v>
      </c>
      <c r="U58" s="413" t="s">
        <v>53</v>
      </c>
      <c r="V58" s="413"/>
      <c r="W58" s="172"/>
      <c r="X58" s="433"/>
      <c r="Y58" s="434"/>
      <c r="Z58" s="267" t="s">
        <v>57</v>
      </c>
      <c r="AA58" s="467"/>
      <c r="AB58" s="468"/>
      <c r="AD58" s="161"/>
      <c r="AE58" s="161"/>
      <c r="AF58" s="426" t="s">
        <v>1657</v>
      </c>
      <c r="AG58" s="426"/>
      <c r="AH58" s="426"/>
      <c r="AI58" s="427"/>
      <c r="AJ58" s="460" t="s">
        <v>20</v>
      </c>
      <c r="AK58" s="460" t="s">
        <v>21</v>
      </c>
      <c r="AL58" s="168"/>
      <c r="AM58" s="204"/>
    </row>
    <row r="59" spans="1:39" ht="17.25" customHeight="1">
      <c r="A59" s="480"/>
      <c r="B59" s="454"/>
      <c r="C59" s="455"/>
      <c r="D59" s="455"/>
      <c r="E59" s="455"/>
      <c r="F59" s="456"/>
      <c r="G59" s="168"/>
      <c r="H59" s="445" t="s">
        <v>45</v>
      </c>
      <c r="I59" s="446"/>
      <c r="J59" s="446"/>
      <c r="K59" s="446"/>
      <c r="L59" s="447"/>
      <c r="M59" s="413" t="s">
        <v>6</v>
      </c>
      <c r="N59" s="413"/>
      <c r="O59" s="429" t="s">
        <v>1656</v>
      </c>
      <c r="P59" s="430"/>
      <c r="Q59" s="430"/>
      <c r="R59" s="430"/>
      <c r="S59" s="431"/>
      <c r="T59" s="477"/>
      <c r="U59" s="413" t="s">
        <v>10</v>
      </c>
      <c r="V59" s="413"/>
      <c r="W59" s="173"/>
      <c r="X59" s="430" t="s">
        <v>1652</v>
      </c>
      <c r="Y59" s="431"/>
      <c r="Z59" s="267" t="s">
        <v>9</v>
      </c>
      <c r="AA59" s="429" t="s">
        <v>1643</v>
      </c>
      <c r="AB59" s="431"/>
      <c r="AF59" s="214"/>
      <c r="AG59" s="215"/>
      <c r="AH59" s="215"/>
      <c r="AI59" s="216"/>
      <c r="AJ59" s="460"/>
      <c r="AK59" s="460"/>
      <c r="AL59" s="168"/>
      <c r="AM59" s="204"/>
    </row>
    <row r="60" spans="1:39" ht="17.25" customHeight="1">
      <c r="A60" s="481"/>
      <c r="B60" s="457"/>
      <c r="C60" s="458"/>
      <c r="D60" s="458"/>
      <c r="E60" s="458"/>
      <c r="F60" s="459"/>
      <c r="G60" s="169"/>
      <c r="H60" s="194"/>
      <c r="I60" s="191"/>
      <c r="J60" s="191"/>
      <c r="K60" s="191"/>
      <c r="L60" s="192"/>
      <c r="M60" s="413" t="s">
        <v>50</v>
      </c>
      <c r="N60" s="413"/>
      <c r="O60" s="432"/>
      <c r="P60" s="433"/>
      <c r="Q60" s="433"/>
      <c r="R60" s="433"/>
      <c r="S60" s="434"/>
      <c r="T60" s="478"/>
      <c r="U60" s="413" t="s">
        <v>54</v>
      </c>
      <c r="V60" s="413"/>
      <c r="W60" s="175"/>
      <c r="X60" s="433"/>
      <c r="Y60" s="434"/>
      <c r="Z60" s="267" t="s">
        <v>23</v>
      </c>
      <c r="AA60" s="432"/>
      <c r="AB60" s="434"/>
      <c r="AC60" s="176"/>
      <c r="AD60" s="163"/>
      <c r="AE60" s="163"/>
      <c r="AF60" s="217"/>
      <c r="AG60" s="217"/>
      <c r="AH60" s="217"/>
      <c r="AI60" s="218"/>
      <c r="AJ60" s="461"/>
      <c r="AK60" s="461"/>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2" sqref="C22"/>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1" t="s">
        <v>1169</v>
      </c>
      <c r="BE1" s="821" t="s">
        <v>1174</v>
      </c>
      <c r="BF1" s="821"/>
      <c r="BG1" s="821"/>
      <c r="BH1" s="821"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1"/>
      <c r="BE2" s="822"/>
      <c r="BF2" s="822"/>
      <c r="BG2" s="821"/>
      <c r="BH2" s="821"/>
    </row>
    <row r="3" spans="1:74" ht="39" customHeight="1" thickBot="1">
      <c r="A3" s="823"/>
      <c r="B3" s="7"/>
      <c r="C3" s="826" t="s">
        <v>32</v>
      </c>
      <c r="D3" s="827"/>
      <c r="E3" s="828"/>
      <c r="F3" s="829" t="str">
        <f>IF($E$6="DE","Karosseriebau","Bodyshop")</f>
        <v>Karosseriebau</v>
      </c>
      <c r="G3" s="830"/>
      <c r="H3" s="830"/>
      <c r="I3" s="830"/>
      <c r="J3" s="830"/>
      <c r="K3" s="830"/>
      <c r="L3" s="830"/>
      <c r="M3" s="830"/>
      <c r="N3" s="830"/>
      <c r="O3" s="830"/>
      <c r="P3" s="830"/>
      <c r="Q3" s="830"/>
      <c r="R3" s="830"/>
      <c r="S3" s="831"/>
      <c r="T3" s="832" t="s">
        <v>1255</v>
      </c>
      <c r="U3" s="833"/>
      <c r="V3" s="833"/>
      <c r="W3" s="833"/>
      <c r="X3" s="833"/>
      <c r="Y3" s="833"/>
      <c r="Z3" s="833"/>
      <c r="AA3" s="833"/>
      <c r="AB3" s="833"/>
      <c r="AC3" s="833"/>
      <c r="AD3" s="833"/>
      <c r="AE3" s="833"/>
      <c r="AF3" s="833"/>
      <c r="AG3" s="833"/>
      <c r="AH3" s="833"/>
      <c r="AI3" s="833"/>
      <c r="AJ3" s="833"/>
      <c r="AK3" s="834" t="s">
        <v>1637</v>
      </c>
      <c r="AL3" s="835"/>
      <c r="AM3" s="835"/>
      <c r="AN3" s="836"/>
      <c r="AO3" s="854"/>
      <c r="AP3" s="855"/>
      <c r="AQ3" s="855"/>
      <c r="AR3" s="855"/>
      <c r="AS3" s="855"/>
      <c r="AT3" s="855"/>
      <c r="AU3" s="855"/>
      <c r="AV3" s="855"/>
      <c r="AW3" s="855"/>
      <c r="AX3" s="855"/>
      <c r="AY3" s="280"/>
      <c r="AZ3" s="280"/>
      <c r="BA3" s="280"/>
      <c r="BB3" s="280"/>
      <c r="BC3" s="33"/>
      <c r="BD3" s="33"/>
      <c r="BE3" s="92" t="s">
        <v>1180</v>
      </c>
      <c r="BF3" s="95"/>
      <c r="BH3" s="94"/>
    </row>
    <row r="4" spans="1:74" ht="63" customHeight="1">
      <c r="A4" s="824"/>
      <c r="B4" s="7"/>
      <c r="C4" s="858" t="str">
        <f>IF($E$6="DE","Punktschweißen","Spot Welding")</f>
        <v>Punktschweißen</v>
      </c>
      <c r="D4" s="859"/>
      <c r="E4" s="859"/>
      <c r="F4" s="859"/>
      <c r="G4" s="859"/>
      <c r="H4" s="859"/>
      <c r="I4" s="859"/>
      <c r="J4" s="859"/>
      <c r="K4" s="859"/>
      <c r="L4" s="860"/>
      <c r="M4" s="864" t="str">
        <f>IF($E$6="DE","Zeichnungsstand:","Dwg release:")</f>
        <v>Zeichnungsstand:</v>
      </c>
      <c r="N4" s="865"/>
      <c r="O4" s="866"/>
      <c r="P4" s="870">
        <v>44971</v>
      </c>
      <c r="Q4" s="871"/>
      <c r="R4" s="871"/>
      <c r="S4" s="872"/>
      <c r="T4" s="875"/>
      <c r="U4" s="876"/>
      <c r="V4" s="876"/>
      <c r="W4" s="876"/>
      <c r="X4" s="876"/>
      <c r="Y4" s="876"/>
      <c r="Z4" s="876"/>
      <c r="AA4" s="876"/>
      <c r="AB4" s="876"/>
      <c r="AC4" s="876"/>
      <c r="AD4" s="876"/>
      <c r="AE4" s="876"/>
      <c r="AF4" s="876"/>
      <c r="AG4" s="877"/>
      <c r="AH4" s="881" t="str">
        <f>IF($E$6="DE","Elektrodenkappe","Electrode Cap")</f>
        <v>Elektrodenkappe</v>
      </c>
      <c r="AI4" s="882"/>
      <c r="AJ4" s="883"/>
      <c r="AK4" s="887" t="e">
        <f>X37</f>
        <v>#VALUE!</v>
      </c>
      <c r="AL4" s="887"/>
      <c r="AM4" s="887"/>
      <c r="AN4" s="888"/>
      <c r="AO4" s="854"/>
      <c r="AP4" s="855"/>
      <c r="AQ4" s="855"/>
      <c r="AR4" s="855"/>
      <c r="AS4" s="855"/>
      <c r="AT4" s="855"/>
      <c r="AU4" s="855"/>
      <c r="AV4" s="855"/>
      <c r="AW4" s="855"/>
      <c r="AX4" s="855"/>
      <c r="AY4" s="280"/>
      <c r="AZ4" s="280"/>
      <c r="BA4" s="280"/>
      <c r="BB4" s="280"/>
      <c r="BC4" s="32"/>
      <c r="BD4" s="52" t="s">
        <v>1167</v>
      </c>
      <c r="BE4" s="52" t="s">
        <v>1178</v>
      </c>
      <c r="BF4" s="91"/>
      <c r="BH4" s="93" t="s">
        <v>1257</v>
      </c>
    </row>
    <row r="5" spans="1:74" ht="57" customHeight="1" thickBot="1">
      <c r="A5" s="824"/>
      <c r="B5" s="7"/>
      <c r="C5" s="861"/>
      <c r="D5" s="862"/>
      <c r="E5" s="862"/>
      <c r="F5" s="862"/>
      <c r="G5" s="862"/>
      <c r="H5" s="862"/>
      <c r="I5" s="862"/>
      <c r="J5" s="862"/>
      <c r="K5" s="862"/>
      <c r="L5" s="863"/>
      <c r="M5" s="867"/>
      <c r="N5" s="868"/>
      <c r="O5" s="869"/>
      <c r="P5" s="873"/>
      <c r="Q5" s="873"/>
      <c r="R5" s="873"/>
      <c r="S5" s="874"/>
      <c r="T5" s="878"/>
      <c r="U5" s="879"/>
      <c r="V5" s="879"/>
      <c r="W5" s="879"/>
      <c r="X5" s="879"/>
      <c r="Y5" s="879"/>
      <c r="Z5" s="879"/>
      <c r="AA5" s="879"/>
      <c r="AB5" s="879"/>
      <c r="AC5" s="879"/>
      <c r="AD5" s="879"/>
      <c r="AE5" s="879"/>
      <c r="AF5" s="879"/>
      <c r="AG5" s="880"/>
      <c r="AH5" s="884"/>
      <c r="AI5" s="885"/>
      <c r="AJ5" s="886"/>
      <c r="AK5" s="889"/>
      <c r="AL5" s="889"/>
      <c r="AM5" s="889"/>
      <c r="AN5" s="890"/>
      <c r="AO5" s="854"/>
      <c r="AP5" s="855"/>
      <c r="AQ5" s="855"/>
      <c r="AR5" s="855"/>
      <c r="AS5" s="855"/>
      <c r="AT5" s="855"/>
      <c r="AU5" s="855"/>
      <c r="AV5" s="855"/>
      <c r="AW5" s="855"/>
      <c r="AX5" s="855"/>
      <c r="AY5" s="280"/>
      <c r="AZ5" s="280"/>
      <c r="BA5" s="280"/>
      <c r="BB5" s="280"/>
      <c r="BC5" s="31"/>
      <c r="BD5" s="53" t="s">
        <v>1168</v>
      </c>
      <c r="BE5" s="52" t="s">
        <v>1179</v>
      </c>
      <c r="BF5" s="91"/>
      <c r="BH5" s="91" t="s">
        <v>1258</v>
      </c>
      <c r="BK5" s="46" t="s">
        <v>1177</v>
      </c>
    </row>
    <row r="6" spans="1:74" ht="38.25" customHeight="1">
      <c r="A6" s="824"/>
      <c r="B6" s="7"/>
      <c r="C6" s="891" t="s">
        <v>1166</v>
      </c>
      <c r="D6" s="892"/>
      <c r="E6" s="897" t="s">
        <v>1167</v>
      </c>
      <c r="F6" s="799" t="s">
        <v>1175</v>
      </c>
      <c r="G6" s="813" t="s">
        <v>1179</v>
      </c>
      <c r="H6" s="815" t="str">
        <f>IF(G6="SPZ","Servopneumatische Schweißzange /                    Servopneumatic Welding Gun",IF(G6="RZ","Roboterschweißzange /                            Robot Welding Gun","Zangentyp auswählen! /                                          Choose Gun Type"))</f>
        <v>Roboterschweißzange /                            Robot Welding Gun</v>
      </c>
      <c r="I6" s="816"/>
      <c r="J6" s="816"/>
      <c r="K6" s="816"/>
      <c r="L6" s="817"/>
      <c r="M6" s="745" t="s">
        <v>1656</v>
      </c>
      <c r="N6" s="746"/>
      <c r="O6" s="746"/>
      <c r="P6" s="746"/>
      <c r="Q6" s="746"/>
      <c r="R6" s="746"/>
      <c r="S6" s="747"/>
      <c r="T6" s="837" t="s">
        <v>1650</v>
      </c>
      <c r="U6" s="837"/>
      <c r="V6" s="837"/>
      <c r="W6" s="837"/>
      <c r="X6" s="837"/>
      <c r="Y6" s="837"/>
      <c r="Z6" s="837"/>
      <c r="AA6" s="837"/>
      <c r="AB6" s="837"/>
      <c r="AC6" s="837"/>
      <c r="AD6" s="837"/>
      <c r="AE6" s="837"/>
      <c r="AF6" s="837"/>
      <c r="AG6" s="838"/>
      <c r="AH6" s="733" t="str">
        <f>IF($E$6="DE","Sonderelektrode (manuelle Auswahl)","Special Electrode Cap (manual selection)")</f>
        <v>Sonderelektrode (manuelle Auswahl)</v>
      </c>
      <c r="AI6" s="843"/>
      <c r="AJ6" s="844"/>
      <c r="AK6" s="845" t="str">
        <f>IF($E$6="DE","Sonderfräsmesser (manuelle Auswahl)","Special Tip-Dresser (manual selection)")</f>
        <v>Sonderfräsmesser (manuelle Auswahl)</v>
      </c>
      <c r="AL6" s="846"/>
      <c r="AM6" s="846"/>
      <c r="AN6" s="847"/>
      <c r="AO6" s="854"/>
      <c r="AP6" s="855"/>
      <c r="AQ6" s="855"/>
      <c r="AR6" s="855"/>
      <c r="AS6" s="855"/>
      <c r="AT6" s="855"/>
      <c r="AU6" s="855"/>
      <c r="AV6" s="855"/>
      <c r="AW6" s="855"/>
      <c r="AX6" s="855"/>
      <c r="AY6" s="280"/>
      <c r="AZ6" s="280"/>
      <c r="BA6" s="280"/>
      <c r="BB6" s="280"/>
      <c r="BK6" s="46" t="s">
        <v>1176</v>
      </c>
    </row>
    <row r="7" spans="1:74" ht="38.25" customHeight="1">
      <c r="A7" s="824"/>
      <c r="B7" s="7"/>
      <c r="C7" s="893"/>
      <c r="D7" s="894"/>
      <c r="E7" s="898"/>
      <c r="F7" s="800"/>
      <c r="G7" s="814"/>
      <c r="H7" s="818"/>
      <c r="I7" s="819"/>
      <c r="J7" s="819"/>
      <c r="K7" s="819"/>
      <c r="L7" s="820"/>
      <c r="M7" s="748"/>
      <c r="N7" s="749"/>
      <c r="O7" s="749"/>
      <c r="P7" s="749"/>
      <c r="Q7" s="749"/>
      <c r="R7" s="749"/>
      <c r="S7" s="750"/>
      <c r="T7" s="839"/>
      <c r="U7" s="839"/>
      <c r="V7" s="839"/>
      <c r="W7" s="839"/>
      <c r="X7" s="839"/>
      <c r="Y7" s="839"/>
      <c r="Z7" s="839"/>
      <c r="AA7" s="839"/>
      <c r="AB7" s="839"/>
      <c r="AC7" s="839"/>
      <c r="AD7" s="839"/>
      <c r="AE7" s="839"/>
      <c r="AF7" s="839"/>
      <c r="AG7" s="840"/>
      <c r="AH7" s="777"/>
      <c r="AI7" s="778"/>
      <c r="AJ7" s="779"/>
      <c r="AK7" s="112" t="s">
        <v>1170</v>
      </c>
      <c r="AL7" s="113" t="s">
        <v>1172</v>
      </c>
      <c r="AM7" s="113" t="s">
        <v>1171</v>
      </c>
      <c r="AN7" s="114" t="s">
        <v>1173</v>
      </c>
      <c r="AO7" s="854"/>
      <c r="AP7" s="855"/>
      <c r="AQ7" s="855"/>
      <c r="AR7" s="855"/>
      <c r="AS7" s="855"/>
      <c r="AT7" s="855"/>
      <c r="AU7" s="855"/>
      <c r="AV7" s="855"/>
      <c r="AW7" s="855"/>
      <c r="AX7" s="855"/>
      <c r="AY7" s="280"/>
      <c r="AZ7" s="280"/>
      <c r="BA7" s="280"/>
      <c r="BB7" s="280"/>
    </row>
    <row r="8" spans="1:74" ht="53.25" customHeight="1" thickBot="1">
      <c r="A8" s="824"/>
      <c r="B8" s="7"/>
      <c r="C8" s="895"/>
      <c r="D8" s="896"/>
      <c r="E8" s="899"/>
      <c r="F8" s="157" t="str">
        <f>IF(E6="DE","Doppelzange (J/N)","Twin-Spot-Gun (J=Yes/N=No)")</f>
        <v>Doppelzange (J/N)</v>
      </c>
      <c r="G8" s="156" t="s">
        <v>1645</v>
      </c>
      <c r="H8" s="848"/>
      <c r="I8" s="849"/>
      <c r="J8" s="849"/>
      <c r="K8" s="849"/>
      <c r="L8" s="850"/>
      <c r="M8" s="751"/>
      <c r="N8" s="752"/>
      <c r="O8" s="752"/>
      <c r="P8" s="752"/>
      <c r="Q8" s="752"/>
      <c r="R8" s="752"/>
      <c r="S8" s="753"/>
      <c r="T8" s="841"/>
      <c r="U8" s="841"/>
      <c r="V8" s="841"/>
      <c r="W8" s="841"/>
      <c r="X8" s="841"/>
      <c r="Y8" s="841"/>
      <c r="Z8" s="841"/>
      <c r="AA8" s="841"/>
      <c r="AB8" s="841"/>
      <c r="AC8" s="841"/>
      <c r="AD8" s="841"/>
      <c r="AE8" s="841"/>
      <c r="AF8" s="841"/>
      <c r="AG8" s="842"/>
      <c r="AH8" s="851"/>
      <c r="AI8" s="852"/>
      <c r="AJ8" s="853"/>
      <c r="AK8" s="54">
        <v>8</v>
      </c>
      <c r="AL8" s="55">
        <v>50</v>
      </c>
      <c r="AM8" s="56">
        <v>8</v>
      </c>
      <c r="AN8" s="57">
        <v>50</v>
      </c>
      <c r="AO8" s="856"/>
      <c r="AP8" s="857"/>
      <c r="AQ8" s="857"/>
      <c r="AR8" s="857"/>
      <c r="AS8" s="857"/>
      <c r="AT8" s="857"/>
      <c r="AU8" s="857"/>
      <c r="AV8" s="857"/>
      <c r="AW8" s="857"/>
      <c r="AX8" s="857"/>
      <c r="AY8" s="280"/>
      <c r="AZ8" s="280"/>
      <c r="BA8" s="280"/>
      <c r="BB8" s="280"/>
    </row>
    <row r="9" spans="1:74" ht="43.5" customHeight="1">
      <c r="A9" s="824"/>
      <c r="B9" s="7"/>
      <c r="C9" s="801" t="str">
        <f>IF($E$6="DE","Punkt- Nummer (Index)","Welding-Spot Number (Index)")</f>
        <v>Punkt- Nummer (Index)</v>
      </c>
      <c r="D9" s="804" t="str">
        <f>IF($E$6="DE","Punkt- Name                                                   (FE - Bezeichnung)","Welding-Spot Number                                              (FE - designition)")</f>
        <v>Punkt- Name                                                   (FE - Bezeichnung)</v>
      </c>
      <c r="E9" s="807" t="str">
        <f>IF($E$6="DE","Schweißkoffer","Welding case-No.")</f>
        <v>Schweißkoffer</v>
      </c>
      <c r="F9" s="807" t="str">
        <f>IF($E$6="DE","Schweißen durch Rob. IR .. /                                Werker WA ..","Welding with Rob. IR ... /                    Worker WR No …")</f>
        <v>Schweißen durch Rob. IR .. /                                Werker WA ..</v>
      </c>
      <c r="G9" s="807" t="str">
        <f>IF($E$6="DE","Schweißzangen-Typ","Weldgun - Type")</f>
        <v>Schweißzangen-Typ</v>
      </c>
      <c r="H9" s="810" t="str">
        <f>IF($E$6="DE","Schweißzangen-Nr.","Weldgun drawing No.")</f>
        <v>Schweißzangen-Nr.</v>
      </c>
      <c r="I9" s="774" t="str">
        <f>IF($E$6="DE","Trafo","Weld-Transformer")</f>
        <v>Trafo</v>
      </c>
      <c r="J9" s="777" t="str">
        <f>IF($E$6="DE","Netzlinien","Car Netline")</f>
        <v>Netzlinien</v>
      </c>
      <c r="K9" s="778"/>
      <c r="L9" s="779"/>
      <c r="M9" s="777" t="str">
        <f>IF($E$6="DE","Blechpaarung","Sheet metal stack")</f>
        <v>Blechpaarung</v>
      </c>
      <c r="N9" s="778"/>
      <c r="O9" s="780"/>
      <c r="P9" s="781" t="str">
        <f>IF($E$6="DE","Blechdicke / Werkstoff","Sheet Thickness / Material")</f>
        <v>Blechdicke / Werkstoff</v>
      </c>
      <c r="Q9" s="782"/>
      <c r="R9" s="782"/>
      <c r="S9" s="782"/>
      <c r="T9" s="782"/>
      <c r="U9" s="782"/>
      <c r="V9" s="782"/>
      <c r="W9" s="782"/>
      <c r="X9" s="783"/>
      <c r="Y9" s="298"/>
      <c r="Z9" s="784" t="str">
        <f>IF($E$6="DE","Zwischenrechnung","theoretical Values")</f>
        <v>Zwischenrechnung</v>
      </c>
      <c r="AA9" s="785"/>
      <c r="AB9" s="786"/>
      <c r="AC9" s="777" t="str">
        <f>IF($E$6="DE","Schweißparameter","Welding Parameters")</f>
        <v>Schweißparameter</v>
      </c>
      <c r="AD9" s="778"/>
      <c r="AE9" s="779"/>
      <c r="AF9" s="727" t="str">
        <f>IF($E$6="DE","Anforderung","Requirement")</f>
        <v>Anforderung</v>
      </c>
      <c r="AG9" s="728"/>
      <c r="AH9" s="729" t="str">
        <f>IF($E$6="DE","benötigte Elektrodenkappen für Schweißpunkt","required Electrode Caps for Spot")</f>
        <v>benötigte Elektrodenkappen für Schweißpunkt</v>
      </c>
      <c r="AI9" s="730"/>
      <c r="AJ9" s="730"/>
      <c r="AK9" s="731"/>
      <c r="AL9" s="732"/>
      <c r="AM9" s="733" t="str">
        <f>IF($E$6="DE","Bemerkung","Comments")</f>
        <v>Bemerkung</v>
      </c>
      <c r="AN9" s="734"/>
      <c r="AO9" s="754" t="str">
        <f>IF($E$6="DE","Schweißpunkte gültig für folgende Typen:","Welding Spots valid for the following Types")</f>
        <v>Schweißpunkte gültig für folgende Typen:</v>
      </c>
      <c r="AP9" s="731"/>
      <c r="AQ9" s="731"/>
      <c r="AR9" s="731"/>
      <c r="AS9" s="731"/>
      <c r="AT9" s="731"/>
      <c r="AU9" s="731"/>
      <c r="AV9" s="731"/>
      <c r="AW9" s="731"/>
      <c r="AX9" s="732"/>
      <c r="AY9" s="280"/>
      <c r="AZ9" s="280"/>
      <c r="BA9" s="280"/>
      <c r="BB9" s="280"/>
    </row>
    <row r="10" spans="1:74" ht="32.25" customHeight="1">
      <c r="A10" s="824"/>
      <c r="B10" s="7"/>
      <c r="C10" s="802"/>
      <c r="D10" s="805"/>
      <c r="E10" s="808"/>
      <c r="F10" s="808"/>
      <c r="G10" s="808"/>
      <c r="H10" s="811"/>
      <c r="I10" s="775"/>
      <c r="J10" s="755" t="s">
        <v>33</v>
      </c>
      <c r="K10" s="758" t="s">
        <v>34</v>
      </c>
      <c r="L10" s="761" t="s">
        <v>35</v>
      </c>
      <c r="M10" s="764" t="str">
        <f>IF($E$6="DE","Zeichnungsnummer","Part drawing no")</f>
        <v>Zeichnungsnummer</v>
      </c>
      <c r="N10" s="765"/>
      <c r="O10" s="765"/>
      <c r="P10" s="770" t="s">
        <v>59</v>
      </c>
      <c r="Q10" s="772" t="str">
        <f>IF($E$6="DE","Werkstoff 1","Material 1")</f>
        <v>Werkstoff 1</v>
      </c>
      <c r="R10" s="787" t="str">
        <f>IF($E$6="DE","Streckgrenze Re 1","Yield strength Re 1")</f>
        <v>Streckgrenze Re 1</v>
      </c>
      <c r="S10" s="789" t="s">
        <v>60</v>
      </c>
      <c r="T10" s="772" t="str">
        <f>IF($E$6="DE","Werkstoff 2","Material 2")</f>
        <v>Werkstoff 2</v>
      </c>
      <c r="U10" s="787" t="str">
        <f>IF($E$6="DE","Streckgrenze Re 2","Yield strength Re 2")</f>
        <v>Streckgrenze Re 2</v>
      </c>
      <c r="V10" s="789" t="s">
        <v>61</v>
      </c>
      <c r="W10" s="772" t="str">
        <f>IF($E$6="DE","Werkstoff 3","Material 3")</f>
        <v>Werkstoff 3</v>
      </c>
      <c r="X10" s="787" t="str">
        <f>IF($E$6="DE","Streckgrenze Re 3","Yield strength Re 3")</f>
        <v>Streckgrenze Re 3</v>
      </c>
      <c r="Y10" s="791" t="str">
        <f>IF($E$6="DE","Klebstoff (J/N)","Adhesive (J=Yes /N=No)")</f>
        <v>Klebstoff (J/N)</v>
      </c>
      <c r="Z10" s="793" t="str">
        <f>IF($E$6="DE","Vergleichsblechdicke tv","Ref. Thickness tv")</f>
        <v>Vergleichsblechdicke tv</v>
      </c>
      <c r="AA10" s="796" t="str">
        <f>IF($E$6="DE","Zuschlag Streckgrenze    (Re1+Re2+Re3)/(220*3*10)+0,9","Yield strength surcharge    (Re1+Re2+Re3)/(220*3*10)+0,9")</f>
        <v>Zuschlag Streckgrenze    (Re1+Re2+Re3)/(220*3*10)+0,9</v>
      </c>
      <c r="AB10" s="709" t="str">
        <f>IF($E$6="DE","Schweißkraft inkl. Klebstoff (Zangenauslegung)","Welding Force incl. Adhesive (Gun Calculation)")</f>
        <v>Schweißkraft inkl. Klebstoff (Zangenauslegung)</v>
      </c>
      <c r="AC10" s="712" t="str">
        <f>IF($E$6="DE","Schweißstrom","Welding Current")</f>
        <v>Schweißstrom</v>
      </c>
      <c r="AD10" s="715" t="str">
        <f>IF($E$6="DE","Schweißzeit","Welding Time")</f>
        <v>Schweißzeit</v>
      </c>
      <c r="AE10" s="718" t="str">
        <f>IF($E$6="DE","Schweißkraft incl. Klebstoff u. TL 4225 außen","Welding Force incl. adhesive and TL 4225 outside")</f>
        <v>Schweißkraft incl. Klebstoff u. TL 4225 außen</v>
      </c>
      <c r="AF10" s="721" t="str">
        <f>IF($E$6="DE","Linsendurchmesser dn min (Blech 1 - Blech 2)","Nuggetdiameter dn min (Sheet 1 - Sheet 2)")</f>
        <v>Linsendurchmesser dn min (Blech 1 - Blech 2)</v>
      </c>
      <c r="AG10" s="718" t="str">
        <f>IF($E$6="DE","Linsendurchmesser dn min (Blech 2 - Blech 3)","Nuggetdiameter dn min (Sheet 2 - Sheet 3)")</f>
        <v>Linsendurchmesser dn min (Blech 2 - Blech 3)</v>
      </c>
      <c r="AH10" s="721" t="str">
        <f>IF($E$6="DE","Elektrodenkappen","Electrode Cap")</f>
        <v>Elektrodenkappen</v>
      </c>
      <c r="AI10" s="715" t="str">
        <f>IF($E$6="DE"," Arbeitsflächendurchm. für Elektrode an Blech 1 (AF1)","Electrode Tip Diameter                       on Sheet 1 (AF1)")</f>
        <v xml:space="preserve"> Arbeitsflächendurchm. für Elektrode an Blech 1 (AF1)</v>
      </c>
      <c r="AJ10" s="715" t="str">
        <f>IF($E$6="DE","Arbeitsflächenradius für Elektrode an Blech 1 (R1)","Electrode Tip Radius                    on Sheet 1 (R1)")</f>
        <v>Arbeitsflächenradius für Elektrode an Blech 1 (R1)</v>
      </c>
      <c r="AK10" s="739" t="str">
        <f>IF($E$6="DE"," Arbeitsflächendurchm. für Elektrode an Blech 2/3 (AF2/3)","Electrode Tip Diameter                      on Sheet 2/3 (AF2/3)")</f>
        <v xml:space="preserve"> Arbeitsflächendurchm. für Elektrode an Blech 2/3 (AF2/3)</v>
      </c>
      <c r="AL10" s="742" t="str">
        <f>IF($E$6="DE","Arbeitsflächenradius für Elektrode an Blech 2/3 (R2/3)","Electrode Tip Radius                   on Sheet 2 (R2/3)")</f>
        <v>Arbeitsflächenradius für Elektrode an Blech 2/3 (R2/3)</v>
      </c>
      <c r="AM10" s="735"/>
      <c r="AN10" s="736"/>
      <c r="AO10" s="706" t="s">
        <v>1646</v>
      </c>
      <c r="AP10" s="706" t="s">
        <v>1647</v>
      </c>
      <c r="AQ10" s="706" t="s">
        <v>1648</v>
      </c>
      <c r="AR10" s="706" t="s">
        <v>1629</v>
      </c>
      <c r="AS10" s="706" t="s">
        <v>1630</v>
      </c>
      <c r="AT10" s="706" t="s">
        <v>1631</v>
      </c>
      <c r="AU10" s="706" t="s">
        <v>1632</v>
      </c>
      <c r="AV10" s="706" t="s">
        <v>1633</v>
      </c>
      <c r="AW10" s="706" t="s">
        <v>1634</v>
      </c>
      <c r="AX10" s="724" t="s">
        <v>1635</v>
      </c>
      <c r="AY10" s="280"/>
      <c r="AZ10" s="280"/>
      <c r="BA10" s="280"/>
      <c r="BB10" s="280"/>
    </row>
    <row r="11" spans="1:74" ht="32.25" customHeight="1">
      <c r="A11" s="824"/>
      <c r="B11" s="7"/>
      <c r="C11" s="802"/>
      <c r="D11" s="805"/>
      <c r="E11" s="808"/>
      <c r="F11" s="808"/>
      <c r="G11" s="808"/>
      <c r="H11" s="811"/>
      <c r="I11" s="775"/>
      <c r="J11" s="756"/>
      <c r="K11" s="759"/>
      <c r="L11" s="762"/>
      <c r="M11" s="766"/>
      <c r="N11" s="767"/>
      <c r="O11" s="767"/>
      <c r="P11" s="771"/>
      <c r="Q11" s="772"/>
      <c r="R11" s="787"/>
      <c r="S11" s="789"/>
      <c r="T11" s="772"/>
      <c r="U11" s="787"/>
      <c r="V11" s="789"/>
      <c r="W11" s="772"/>
      <c r="X11" s="787"/>
      <c r="Y11" s="791"/>
      <c r="Z11" s="794"/>
      <c r="AA11" s="797"/>
      <c r="AB11" s="710"/>
      <c r="AC11" s="713"/>
      <c r="AD11" s="716"/>
      <c r="AE11" s="719"/>
      <c r="AF11" s="722"/>
      <c r="AG11" s="719"/>
      <c r="AH11" s="722"/>
      <c r="AI11" s="716"/>
      <c r="AJ11" s="716"/>
      <c r="AK11" s="740"/>
      <c r="AL11" s="743"/>
      <c r="AM11" s="735"/>
      <c r="AN11" s="736"/>
      <c r="AO11" s="707"/>
      <c r="AP11" s="707"/>
      <c r="AQ11" s="707"/>
      <c r="AR11" s="707"/>
      <c r="AS11" s="707"/>
      <c r="AT11" s="707"/>
      <c r="AU11" s="707"/>
      <c r="AV11" s="707"/>
      <c r="AW11" s="707"/>
      <c r="AX11" s="725"/>
      <c r="AY11" s="280"/>
      <c r="AZ11" s="280"/>
      <c r="BA11" s="280"/>
      <c r="BB11" s="280"/>
      <c r="BD11" s="703" t="s">
        <v>1125</v>
      </c>
      <c r="BE11" s="703" t="s">
        <v>1126</v>
      </c>
      <c r="BF11" s="703" t="s">
        <v>1127</v>
      </c>
    </row>
    <row r="12" spans="1:74" ht="32.25" customHeight="1">
      <c r="A12" s="824"/>
      <c r="B12" s="7"/>
      <c r="C12" s="802"/>
      <c r="D12" s="805"/>
      <c r="E12" s="808"/>
      <c r="F12" s="808"/>
      <c r="G12" s="808"/>
      <c r="H12" s="811"/>
      <c r="I12" s="775"/>
      <c r="J12" s="756"/>
      <c r="K12" s="759"/>
      <c r="L12" s="762"/>
      <c r="M12" s="766"/>
      <c r="N12" s="767"/>
      <c r="O12" s="767"/>
      <c r="P12" s="771"/>
      <c r="Q12" s="772"/>
      <c r="R12" s="787"/>
      <c r="S12" s="789"/>
      <c r="T12" s="772"/>
      <c r="U12" s="787"/>
      <c r="V12" s="789"/>
      <c r="W12" s="772"/>
      <c r="X12" s="787"/>
      <c r="Y12" s="791"/>
      <c r="Z12" s="794"/>
      <c r="AA12" s="797"/>
      <c r="AB12" s="710"/>
      <c r="AC12" s="713"/>
      <c r="AD12" s="716"/>
      <c r="AE12" s="719"/>
      <c r="AF12" s="722"/>
      <c r="AG12" s="719"/>
      <c r="AH12" s="722"/>
      <c r="AI12" s="716"/>
      <c r="AJ12" s="716"/>
      <c r="AK12" s="740"/>
      <c r="AL12" s="743"/>
      <c r="AM12" s="735"/>
      <c r="AN12" s="736"/>
      <c r="AO12" s="707"/>
      <c r="AP12" s="707"/>
      <c r="AQ12" s="707"/>
      <c r="AR12" s="707"/>
      <c r="AS12" s="707"/>
      <c r="AT12" s="707"/>
      <c r="AU12" s="707"/>
      <c r="AV12" s="707"/>
      <c r="AW12" s="707"/>
      <c r="AX12" s="725"/>
      <c r="AY12" s="280"/>
      <c r="AZ12" s="280"/>
      <c r="BA12" s="280"/>
      <c r="BB12" s="280"/>
      <c r="BD12" s="704"/>
      <c r="BE12" s="704"/>
      <c r="BF12" s="704"/>
    </row>
    <row r="13" spans="1:74" ht="32.25" customHeight="1">
      <c r="A13" s="824"/>
      <c r="B13" s="7"/>
      <c r="C13" s="802"/>
      <c r="D13" s="805"/>
      <c r="E13" s="808"/>
      <c r="F13" s="808"/>
      <c r="G13" s="808"/>
      <c r="H13" s="811"/>
      <c r="I13" s="775"/>
      <c r="J13" s="756"/>
      <c r="K13" s="759"/>
      <c r="L13" s="762"/>
      <c r="M13" s="766"/>
      <c r="N13" s="767"/>
      <c r="O13" s="767"/>
      <c r="P13" s="771"/>
      <c r="Q13" s="772"/>
      <c r="R13" s="787"/>
      <c r="S13" s="789"/>
      <c r="T13" s="772"/>
      <c r="U13" s="787"/>
      <c r="V13" s="789"/>
      <c r="W13" s="772"/>
      <c r="X13" s="787"/>
      <c r="Y13" s="791"/>
      <c r="Z13" s="794"/>
      <c r="AA13" s="797"/>
      <c r="AB13" s="710"/>
      <c r="AC13" s="713"/>
      <c r="AD13" s="716"/>
      <c r="AE13" s="719"/>
      <c r="AF13" s="722"/>
      <c r="AG13" s="719"/>
      <c r="AH13" s="722"/>
      <c r="AI13" s="716"/>
      <c r="AJ13" s="716"/>
      <c r="AK13" s="740"/>
      <c r="AL13" s="743"/>
      <c r="AM13" s="735"/>
      <c r="AN13" s="736"/>
      <c r="AO13" s="707"/>
      <c r="AP13" s="707"/>
      <c r="AQ13" s="707"/>
      <c r="AR13" s="707"/>
      <c r="AS13" s="707"/>
      <c r="AT13" s="707"/>
      <c r="AU13" s="707"/>
      <c r="AV13" s="707"/>
      <c r="AW13" s="707"/>
      <c r="AX13" s="725"/>
      <c r="AY13" s="280"/>
      <c r="AZ13" s="280"/>
      <c r="BA13" s="280"/>
      <c r="BB13" s="280"/>
      <c r="BD13" s="704"/>
      <c r="BE13" s="704"/>
      <c r="BF13" s="704"/>
    </row>
    <row r="14" spans="1:74" ht="32.25" customHeight="1">
      <c r="A14" s="824"/>
      <c r="B14" s="7"/>
      <c r="C14" s="802"/>
      <c r="D14" s="805"/>
      <c r="E14" s="808"/>
      <c r="F14" s="808"/>
      <c r="G14" s="808"/>
      <c r="H14" s="811"/>
      <c r="I14" s="775"/>
      <c r="J14" s="756"/>
      <c r="K14" s="759"/>
      <c r="L14" s="762"/>
      <c r="M14" s="766"/>
      <c r="N14" s="767"/>
      <c r="O14" s="767"/>
      <c r="P14" s="771"/>
      <c r="Q14" s="772"/>
      <c r="R14" s="787"/>
      <c r="S14" s="789"/>
      <c r="T14" s="772"/>
      <c r="U14" s="787"/>
      <c r="V14" s="789"/>
      <c r="W14" s="772"/>
      <c r="X14" s="787"/>
      <c r="Y14" s="791"/>
      <c r="Z14" s="794"/>
      <c r="AA14" s="797"/>
      <c r="AB14" s="710"/>
      <c r="AC14" s="713"/>
      <c r="AD14" s="716"/>
      <c r="AE14" s="719"/>
      <c r="AF14" s="722"/>
      <c r="AG14" s="719"/>
      <c r="AH14" s="722"/>
      <c r="AI14" s="716"/>
      <c r="AJ14" s="716"/>
      <c r="AK14" s="740"/>
      <c r="AL14" s="743"/>
      <c r="AM14" s="735"/>
      <c r="AN14" s="736"/>
      <c r="AO14" s="707"/>
      <c r="AP14" s="707"/>
      <c r="AQ14" s="707"/>
      <c r="AR14" s="707"/>
      <c r="AS14" s="707"/>
      <c r="AT14" s="707"/>
      <c r="AU14" s="707"/>
      <c r="AV14" s="707"/>
      <c r="AW14" s="707"/>
      <c r="AX14" s="725"/>
      <c r="AY14" s="280"/>
      <c r="AZ14" s="280"/>
      <c r="BA14" s="280"/>
      <c r="BB14" s="280"/>
      <c r="BD14" s="704"/>
      <c r="BE14" s="704"/>
      <c r="BF14" s="704"/>
    </row>
    <row r="15" spans="1:74" ht="32.25" customHeight="1">
      <c r="A15" s="824"/>
      <c r="B15" s="7"/>
      <c r="C15" s="802"/>
      <c r="D15" s="805"/>
      <c r="E15" s="808"/>
      <c r="F15" s="808"/>
      <c r="G15" s="808"/>
      <c r="H15" s="811"/>
      <c r="I15" s="775"/>
      <c r="J15" s="756"/>
      <c r="K15" s="759"/>
      <c r="L15" s="762"/>
      <c r="M15" s="766"/>
      <c r="N15" s="767"/>
      <c r="O15" s="767"/>
      <c r="P15" s="771"/>
      <c r="Q15" s="772"/>
      <c r="R15" s="787"/>
      <c r="S15" s="789"/>
      <c r="T15" s="772"/>
      <c r="U15" s="787"/>
      <c r="V15" s="789"/>
      <c r="W15" s="772"/>
      <c r="X15" s="787"/>
      <c r="Y15" s="791"/>
      <c r="Z15" s="794"/>
      <c r="AA15" s="797"/>
      <c r="AB15" s="710"/>
      <c r="AC15" s="713"/>
      <c r="AD15" s="716"/>
      <c r="AE15" s="719"/>
      <c r="AF15" s="722"/>
      <c r="AG15" s="719"/>
      <c r="AH15" s="722"/>
      <c r="AI15" s="716"/>
      <c r="AJ15" s="716"/>
      <c r="AK15" s="740"/>
      <c r="AL15" s="743"/>
      <c r="AM15" s="735"/>
      <c r="AN15" s="736"/>
      <c r="AO15" s="707"/>
      <c r="AP15" s="707"/>
      <c r="AQ15" s="707"/>
      <c r="AR15" s="707"/>
      <c r="AS15" s="707"/>
      <c r="AT15" s="707"/>
      <c r="AU15" s="707"/>
      <c r="AV15" s="707"/>
      <c r="AW15" s="707"/>
      <c r="AX15" s="725"/>
      <c r="AY15" s="280"/>
      <c r="AZ15" s="280"/>
      <c r="BA15" s="280"/>
      <c r="BB15" s="280"/>
      <c r="BD15" s="704"/>
      <c r="BE15" s="704"/>
      <c r="BF15" s="704"/>
    </row>
    <row r="16" spans="1:74" ht="32.25" customHeight="1">
      <c r="A16" s="824"/>
      <c r="B16" s="7"/>
      <c r="C16" s="802"/>
      <c r="D16" s="805"/>
      <c r="E16" s="808"/>
      <c r="F16" s="808"/>
      <c r="G16" s="808"/>
      <c r="H16" s="811"/>
      <c r="I16" s="775"/>
      <c r="J16" s="756"/>
      <c r="K16" s="759"/>
      <c r="L16" s="762"/>
      <c r="M16" s="766"/>
      <c r="N16" s="767"/>
      <c r="O16" s="767"/>
      <c r="P16" s="771"/>
      <c r="Q16" s="772"/>
      <c r="R16" s="787"/>
      <c r="S16" s="789"/>
      <c r="T16" s="772"/>
      <c r="U16" s="787"/>
      <c r="V16" s="789"/>
      <c r="W16" s="772"/>
      <c r="X16" s="787"/>
      <c r="Y16" s="791"/>
      <c r="Z16" s="794"/>
      <c r="AA16" s="797"/>
      <c r="AB16" s="710"/>
      <c r="AC16" s="713"/>
      <c r="AD16" s="716"/>
      <c r="AE16" s="719"/>
      <c r="AF16" s="722"/>
      <c r="AG16" s="719"/>
      <c r="AH16" s="722"/>
      <c r="AI16" s="716"/>
      <c r="AJ16" s="716"/>
      <c r="AK16" s="740"/>
      <c r="AL16" s="743"/>
      <c r="AM16" s="735"/>
      <c r="AN16" s="736"/>
      <c r="AO16" s="707"/>
      <c r="AP16" s="707"/>
      <c r="AQ16" s="707"/>
      <c r="AR16" s="707"/>
      <c r="AS16" s="707"/>
      <c r="AT16" s="707"/>
      <c r="AU16" s="707"/>
      <c r="AV16" s="707"/>
      <c r="AW16" s="707"/>
      <c r="AX16" s="725"/>
      <c r="AY16" s="280"/>
      <c r="AZ16" s="280"/>
      <c r="BA16" s="280"/>
      <c r="BB16" s="280"/>
      <c r="BD16" s="704"/>
      <c r="BE16" s="704"/>
      <c r="BF16" s="704"/>
      <c r="BI16" s="5"/>
      <c r="BJ16" s="5"/>
      <c r="BK16" s="5"/>
      <c r="BL16" s="5"/>
      <c r="BM16" s="5"/>
      <c r="BN16" s="5"/>
      <c r="BO16" s="5"/>
      <c r="BP16" s="5"/>
      <c r="BQ16" s="5"/>
      <c r="BR16" s="5"/>
      <c r="BS16" s="5"/>
      <c r="BT16" s="5"/>
      <c r="BU16" s="5"/>
      <c r="BV16" s="5"/>
    </row>
    <row r="17" spans="1:85" ht="32.25" customHeight="1">
      <c r="A17" s="824"/>
      <c r="B17" s="7"/>
      <c r="C17" s="802"/>
      <c r="D17" s="805"/>
      <c r="E17" s="808"/>
      <c r="F17" s="808"/>
      <c r="G17" s="808"/>
      <c r="H17" s="811"/>
      <c r="I17" s="776"/>
      <c r="J17" s="757"/>
      <c r="K17" s="760"/>
      <c r="L17" s="763"/>
      <c r="M17" s="768"/>
      <c r="N17" s="769"/>
      <c r="O17" s="769"/>
      <c r="P17" s="771"/>
      <c r="Q17" s="773"/>
      <c r="R17" s="788"/>
      <c r="S17" s="790"/>
      <c r="T17" s="773"/>
      <c r="U17" s="788"/>
      <c r="V17" s="790"/>
      <c r="W17" s="773"/>
      <c r="X17" s="788"/>
      <c r="Y17" s="792"/>
      <c r="Z17" s="795"/>
      <c r="AA17" s="798"/>
      <c r="AB17" s="711"/>
      <c r="AC17" s="714"/>
      <c r="AD17" s="717"/>
      <c r="AE17" s="720"/>
      <c r="AF17" s="723"/>
      <c r="AG17" s="720"/>
      <c r="AH17" s="723"/>
      <c r="AI17" s="717"/>
      <c r="AJ17" s="717"/>
      <c r="AK17" s="741"/>
      <c r="AL17" s="744"/>
      <c r="AM17" s="735"/>
      <c r="AN17" s="736"/>
      <c r="AO17" s="707"/>
      <c r="AP17" s="707"/>
      <c r="AQ17" s="707"/>
      <c r="AR17" s="707"/>
      <c r="AS17" s="707"/>
      <c r="AT17" s="707"/>
      <c r="AU17" s="707"/>
      <c r="AV17" s="707"/>
      <c r="AW17" s="707"/>
      <c r="AX17" s="725"/>
      <c r="AY17" s="280"/>
      <c r="AZ17" s="280"/>
      <c r="BA17" s="280"/>
      <c r="BB17" s="280"/>
      <c r="BD17" s="704"/>
      <c r="BE17" s="704"/>
      <c r="BF17" s="704"/>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24"/>
      <c r="B18" s="7"/>
      <c r="C18" s="803"/>
      <c r="D18" s="806"/>
      <c r="E18" s="809"/>
      <c r="F18" s="809"/>
      <c r="G18" s="809"/>
      <c r="H18" s="812"/>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37"/>
      <c r="AN18" s="738"/>
      <c r="AO18" s="708"/>
      <c r="AP18" s="708"/>
      <c r="AQ18" s="708"/>
      <c r="AR18" s="708"/>
      <c r="AS18" s="708"/>
      <c r="AT18" s="708"/>
      <c r="AU18" s="708"/>
      <c r="AV18" s="708"/>
      <c r="AW18" s="708"/>
      <c r="AX18" s="726"/>
      <c r="AY18" s="280"/>
      <c r="AZ18" s="280"/>
      <c r="BA18" s="280"/>
      <c r="BB18" s="280"/>
      <c r="BD18" s="705"/>
      <c r="BE18" s="705"/>
      <c r="BF18" s="705"/>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24"/>
      <c r="B19" s="7"/>
      <c r="C19" s="919">
        <v>7.1006299999999998</v>
      </c>
      <c r="D19" s="920" t="s">
        <v>1662</v>
      </c>
      <c r="E19" s="921" t="s">
        <v>1180</v>
      </c>
      <c r="F19" s="922" t="s">
        <v>1670</v>
      </c>
      <c r="G19" s="923" t="s">
        <v>1659</v>
      </c>
      <c r="H19" s="924" t="s">
        <v>1669</v>
      </c>
      <c r="I19" s="925" t="s">
        <v>1180</v>
      </c>
      <c r="J19" s="101">
        <v>-198.48</v>
      </c>
      <c r="K19" s="102">
        <v>-440.8</v>
      </c>
      <c r="L19" s="103">
        <v>209.5</v>
      </c>
      <c r="M19" s="105" t="s">
        <v>1672</v>
      </c>
      <c r="N19" s="104" t="s">
        <v>1666</v>
      </c>
      <c r="O19" s="327" t="s">
        <v>1180</v>
      </c>
      <c r="P19" s="926">
        <v>2.1</v>
      </c>
      <c r="Q19" s="927" t="s">
        <v>1180</v>
      </c>
      <c r="R19" s="928" t="e">
        <f>IF(AND(ISBLANK(P19),ISTEXT(Q19)),"t1?",IF(AND(ISBLANK(Q19),ISBLANK(P19)),"",VLOOKUP(BD19,Materialliste!$A$2:$B$1477,2,FALSE)))</f>
        <v>#N/A</v>
      </c>
      <c r="S19" s="926">
        <v>2.5</v>
      </c>
      <c r="T19" s="927" t="s">
        <v>1180</v>
      </c>
      <c r="U19" s="928" t="e">
        <f>IF(AND(ISBLANK(S19),ISTEXT(T19)),"t2?",IF(AND(ISBLANK(T19),ISBLANK(S19)),"",VLOOKUP(BE19,Materialliste!$A$2:$B$1477,2,FALSE)))</f>
        <v>#N/A</v>
      </c>
      <c r="V19" s="926"/>
      <c r="W19" s="929"/>
      <c r="X19" s="930" t="str">
        <f>IF(AND(ISBLANK(V19),ISTEXT(W19)),"t3?",IF(AND(ISBLANK(W19),ISBLANK(V19)),"",VLOOKUP(BF19,Materialliste!$A$2:$B$1477,2,FALSE)))</f>
        <v/>
      </c>
      <c r="Y19" s="931" t="s">
        <v>1645</v>
      </c>
      <c r="Z19" s="932">
        <f t="shared" ref="Z19:Z34" si="0">IF($E$6="DE",IF(P19*S19&gt;0,0.8*BJ19+0.2*BI19,"BLECH?"),IF(P19*S19&gt;0,0.8*BJ19+0.2*BI19,"Sheet?"))</f>
        <v>2.1800000000000002</v>
      </c>
      <c r="AA19" s="933" t="str">
        <f>IF(AND(ISNUMBER(R19),ISNUMBER(U19)),IF(ISTEXT(X19),(R19+U19)/(220*3*10)+0.9,(R19+U19+X19)/(220*3*10)+0.9),"?Re")</f>
        <v>?Re</v>
      </c>
      <c r="AB19" s="934"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5" t="e">
        <f t="shared" ref="AC19:AC34" si="2">IF(OR(G19="C",G19="X"),IF(Z19="BLECH?","",IF(AND(BS19=TRUE,BU19=TRUE),IF(Z19&lt;=2,((1.13*Z19+7.1+BT19)+(1.13*Z19+7.1+BV19))/2*BR19,((1.5*Z19+5.8+BT19)+(1.5*Z19+5.8+BV19))/2*BR19),IF(Z19&lt;=2,(1.13*Z19+7.1+BT19+BV19)*BR19,(1.5*Z19+5.8+BT19+BV19)*BR19))),IF(OR(G19="B",G19="S"),"6",IF(G19="R","7",IF(G19="M","4,3",""))))</f>
        <v>#N/A</v>
      </c>
      <c r="AD19" s="936" t="e">
        <f t="shared" ref="AD19:AD34" si="3">IF(OR(G19="C",G19="X"),IF(Z19="BLECH?","",MIN((((P19+S19+V19-1.4)*(600/4.6))+200)+BP19,900)),IF(G19="B","60",IF(G19="R","150",IF(G19="S","90",IF(G19="m","350","")))))</f>
        <v>#N/A</v>
      </c>
      <c r="AE19" s="937" t="e">
        <f t="shared" ref="AE19:AE34" si="4">IF(OR(G19="C",G19="X"),AB19*BQ19,AB19)</f>
        <v>#VALUE!</v>
      </c>
      <c r="AF19" s="938">
        <f>IF(G19="S","-",IF(OR(G19="M",G19="B"),1.6,IF(P19=0,"",3.5*SQRT(MIN(P19,S19)))))</f>
        <v>5.0719818611663037</v>
      </c>
      <c r="AG19" s="939" t="str">
        <f>IF(V19&gt;0,(IF(G19="S","-",IF(OR(G19="M",G19="B"),1.6,3.5*SQRT(MIN(S19,V19))))),"")</f>
        <v/>
      </c>
      <c r="AH19" s="940" t="e">
        <f t="shared" ref="AH19:AH34" si="5">IF(AND($AN$36="Ja",ISTEXT($AG$38),ISNUMBER($AL$38)),CG19,CC19)</f>
        <v>#VALUE!</v>
      </c>
      <c r="AI19" s="941">
        <f>IF(ISBLANK(G19),"",IF(ISNUMBER($AK$8),$AK$8,IF(G19="R",0,IF(G19="S",4,IF(G19="M",5,IF(G19="B",8,IF(Z19&gt;=2,8,6)))))))</f>
        <v>8</v>
      </c>
      <c r="AJ19" s="941">
        <f>IF(ISBLANK(G19),"",IF(ISNUMBER($AL$8),$AL$8,IF(G19="R",8,IF(G19="S",50,IF(G19="M",15,IF(G19="B",0,50))))))</f>
        <v>50</v>
      </c>
      <c r="AK19" s="941">
        <f>IF(ISBLANK(G19),"",IF(ISNUMBER($AM$8),$AM$8,IF(G19="R",0,IF(G19="S","-",IF(G19="M",5,IF(G19="B",8,IF(Z19&gt;=2,8,6)))))))</f>
        <v>8</v>
      </c>
      <c r="AL19" s="942">
        <f>IF(ISBLANK(G19),"",IF(ISNUMBER($AN$8),$AN$8,IF(G19="R",8,IF(G19="S","-",IF(G19="M",15,IF(G19="B",0,50))))))</f>
        <v>50</v>
      </c>
      <c r="AM19" s="943"/>
      <c r="AN19" s="944"/>
      <c r="AO19" s="945"/>
      <c r="AP19" s="946" t="s">
        <v>1653</v>
      </c>
      <c r="AQ19" s="946"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24"/>
      <c r="B20" s="7"/>
      <c r="C20" s="947">
        <v>7.1006400000000003</v>
      </c>
      <c r="D20" s="948" t="s">
        <v>1663</v>
      </c>
      <c r="E20" s="949" t="s">
        <v>1180</v>
      </c>
      <c r="F20" s="950" t="s">
        <v>1670</v>
      </c>
      <c r="G20" s="951" t="s">
        <v>1659</v>
      </c>
      <c r="H20" s="952" t="s">
        <v>1669</v>
      </c>
      <c r="I20" s="953" t="s">
        <v>1180</v>
      </c>
      <c r="J20" s="109">
        <v>40.94</v>
      </c>
      <c r="K20" s="108">
        <v>-447.97</v>
      </c>
      <c r="L20" s="106">
        <v>105.65</v>
      </c>
      <c r="M20" s="100" t="s">
        <v>1667</v>
      </c>
      <c r="N20" s="99" t="s">
        <v>1672</v>
      </c>
      <c r="O20" s="328" t="s">
        <v>1668</v>
      </c>
      <c r="P20" s="954">
        <v>3</v>
      </c>
      <c r="Q20" s="955" t="s">
        <v>1673</v>
      </c>
      <c r="R20" s="956" t="e">
        <f>IF(AND(ISBLANK(P20),ISTEXT(Q20)),"t1?",IF(AND(ISBLANK(Q20),ISBLANK(P20)),"",VLOOKUP(BD20,Materialliste!$A$2:$B$1477,2,FALSE)))</f>
        <v>#N/A</v>
      </c>
      <c r="S20" s="954">
        <v>2.1</v>
      </c>
      <c r="T20" s="957" t="s">
        <v>1180</v>
      </c>
      <c r="U20" s="958" t="e">
        <f>IF(AND(ISBLANK(S20),ISTEXT(T20)),"t2?",IF(AND(ISBLANK(T20),ISBLANK(S20)),"",VLOOKUP(BE20,Materialliste!$A$2:$B$1477,2,FALSE)))</f>
        <v>#N/A</v>
      </c>
      <c r="V20" s="954">
        <v>1.5</v>
      </c>
      <c r="W20" s="957" t="s">
        <v>1180</v>
      </c>
      <c r="X20" s="958" t="e">
        <f>IF(AND(ISBLANK(V20),ISTEXT(W20)),"t3?",IF(AND(ISBLANK(W20),ISBLANK(V20)),"",VLOOKUP(BF20,Materialliste!$A$2:$B$1477,2,FALSE)))</f>
        <v>#N/A</v>
      </c>
      <c r="Y20" s="959" t="s">
        <v>1645</v>
      </c>
      <c r="Z20" s="960">
        <f t="shared" si="0"/>
        <v>2.2800000000000002</v>
      </c>
      <c r="AA20" s="961" t="str">
        <f t="shared" ref="AA20:AA34" si="14">IF(AND(ISNUMBER(R20),ISNUMBER(U20)),IF(ISTEXT(X20),(R20+U20)/(220*3*10)+0.9,(R20+U20+X20)/(220*3*10)+0.9),"?Re")</f>
        <v>?Re</v>
      </c>
      <c r="AB20" s="962" t="e">
        <f t="shared" si="1"/>
        <v>#VALUE!</v>
      </c>
      <c r="AC20" s="963" t="e">
        <f t="shared" si="2"/>
        <v>#N/A</v>
      </c>
      <c r="AD20" s="936" t="e">
        <f t="shared" si="3"/>
        <v>#N/A</v>
      </c>
      <c r="AE20" s="964" t="e">
        <f t="shared" si="4"/>
        <v>#VALUE!</v>
      </c>
      <c r="AF20" s="965">
        <f t="shared" ref="AF20:AF34" si="15">IF(G20="S","-",IF(OR(G20="M",G20="B"),1.6,IF(P20=0,"",3.5*SQRT(MIN(P20,S20)))))</f>
        <v>5.0719818611663037</v>
      </c>
      <c r="AG20" s="966">
        <f t="shared" ref="AG20:AG34" si="16">IF(V20&gt;0,(IF(G20="S","-",IF(OR(G20="M",G20="B"),1.6,3.5*SQRT(MIN(S20,V20))))),"")</f>
        <v>4.2866070498705611</v>
      </c>
      <c r="AH20" s="940" t="e">
        <f t="shared" si="5"/>
        <v>#VALUE!</v>
      </c>
      <c r="AI20" s="967">
        <f t="shared" ref="AI20:AI34" si="17">IF(ISBLANK(G20),"",IF(ISNUMBER($AK$8),$AK$8,IF(G20="R",0,IF(G20="S",4,IF(G20="M",5,IF(G20="B",8,IF(Z20&gt;=2,8,6)))))))</f>
        <v>8</v>
      </c>
      <c r="AJ20" s="967">
        <f t="shared" ref="AJ20:AJ34" si="18">IF(ISBLANK(G20),"",IF(ISNUMBER($AL$8),$AL$8,IF(G20="R",8,IF(G20="S",50,IF(G20="M",15,IF(G20="B",0,50))))))</f>
        <v>50</v>
      </c>
      <c r="AK20" s="967">
        <f t="shared" ref="AK20:AK34" si="19">IF(ISBLANK(G20),"",IF(ISNUMBER($AM$8),$AM$8,IF(G20="R",0,IF(G20="S","-",IF(G20="M",5,IF(G20="B",8,IF(Z20&gt;=2,8,6)))))))</f>
        <v>8</v>
      </c>
      <c r="AL20" s="968">
        <f t="shared" ref="AL20:AL34" si="20">IF(ISBLANK(G20),"",IF(ISNUMBER($AN$8),$AN$8,IF(G20="R",8,IF(G20="S","-",IF(G20="M",15,IF(G20="B",0,50))))))</f>
        <v>50</v>
      </c>
      <c r="AM20" s="969" t="s">
        <v>1655</v>
      </c>
      <c r="AN20" s="970"/>
      <c r="AO20" s="971"/>
      <c r="AP20" s="972" t="s">
        <v>1653</v>
      </c>
      <c r="AQ20" s="972" t="s">
        <v>1653</v>
      </c>
      <c r="AR20" s="281"/>
      <c r="AS20" s="281"/>
      <c r="AT20" s="281"/>
      <c r="AU20" s="281"/>
      <c r="AV20" s="281"/>
      <c r="AW20" s="281"/>
      <c r="AX20" s="282"/>
      <c r="AY20" s="280"/>
      <c r="AZ20" s="280"/>
      <c r="BA20" s="280"/>
      <c r="BB20" s="280"/>
      <c r="BD20" s="34" t="str">
        <f t="shared" si="6"/>
        <v>HX300LAD + Z100MB</v>
      </c>
      <c r="BE20" s="34" t="str">
        <f t="shared" si="7"/>
        <v>-</v>
      </c>
      <c r="BF20" s="34" t="str">
        <f t="shared" si="8"/>
        <v>-</v>
      </c>
      <c r="BI20" s="10">
        <f t="shared" si="9"/>
        <v>3</v>
      </c>
      <c r="BJ20" s="11">
        <f t="shared" ref="BJ20:BJ34" si="21">LARGE(BK20:BM20,2)</f>
        <v>2.1</v>
      </c>
      <c r="BK20" s="10">
        <f t="shared" si="10"/>
        <v>3</v>
      </c>
      <c r="BL20" s="10">
        <f t="shared" si="11"/>
        <v>2.1</v>
      </c>
      <c r="BM20" s="10">
        <f t="shared" si="12"/>
        <v>1.5</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24"/>
      <c r="B21" s="7"/>
      <c r="C21" s="947">
        <v>7.1006499999999999</v>
      </c>
      <c r="D21" s="948" t="s">
        <v>1664</v>
      </c>
      <c r="E21" s="949" t="s">
        <v>1180</v>
      </c>
      <c r="F21" s="950" t="s">
        <v>1670</v>
      </c>
      <c r="G21" s="951" t="s">
        <v>1659</v>
      </c>
      <c r="H21" s="952" t="s">
        <v>1669</v>
      </c>
      <c r="I21" s="953" t="s">
        <v>1180</v>
      </c>
      <c r="J21" s="109">
        <v>44.03</v>
      </c>
      <c r="K21" s="108">
        <v>-412.33</v>
      </c>
      <c r="L21" s="106">
        <v>92.99</v>
      </c>
      <c r="M21" s="100" t="s">
        <v>1672</v>
      </c>
      <c r="N21" s="99" t="s">
        <v>1667</v>
      </c>
      <c r="O21" s="328" t="s">
        <v>1661</v>
      </c>
      <c r="P21" s="954">
        <v>2.1</v>
      </c>
      <c r="Q21" s="957" t="s">
        <v>1180</v>
      </c>
      <c r="R21" s="973" t="e">
        <f>IF(AND(ISBLANK(P21),ISTEXT(Q21)),"t1?",IF(AND(ISBLANK(Q21),ISBLANK(P21)),"",VLOOKUP(BD21,Materialliste!$A$2:$B$1477,2,FALSE)))</f>
        <v>#N/A</v>
      </c>
      <c r="S21" s="954">
        <v>3</v>
      </c>
      <c r="T21" s="957" t="s">
        <v>1673</v>
      </c>
      <c r="U21" s="973" t="e">
        <f>IF(AND(ISBLANK(S21),ISTEXT(T21)),"t2?",IF(AND(ISBLANK(T21),ISBLANK(S21)),"",VLOOKUP(BE21,Materialliste!$A$2:$B$1477,2,FALSE)))</f>
        <v>#N/A</v>
      </c>
      <c r="V21" s="954">
        <v>2</v>
      </c>
      <c r="W21" s="957" t="s">
        <v>1180</v>
      </c>
      <c r="X21" s="973" t="e">
        <f>IF(AND(ISBLANK(V21),ISTEXT(W21)),"t3?",IF(AND(ISBLANK(W21),ISBLANK(V21)),"",VLOOKUP(BF21,Materialliste!$A$2:$B$1477,2,FALSE)))</f>
        <v>#N/A</v>
      </c>
      <c r="Y21" s="959" t="s">
        <v>1645</v>
      </c>
      <c r="Z21" s="960">
        <f t="shared" si="0"/>
        <v>2.2800000000000002</v>
      </c>
      <c r="AA21" s="961" t="str">
        <f t="shared" si="14"/>
        <v>?Re</v>
      </c>
      <c r="AB21" s="962" t="e">
        <f t="shared" si="1"/>
        <v>#VALUE!</v>
      </c>
      <c r="AC21" s="963" t="e">
        <f t="shared" si="2"/>
        <v>#N/A</v>
      </c>
      <c r="AD21" s="936" t="e">
        <f t="shared" si="3"/>
        <v>#N/A</v>
      </c>
      <c r="AE21" s="964" t="e">
        <f t="shared" si="4"/>
        <v>#VALUE!</v>
      </c>
      <c r="AF21" s="965">
        <f t="shared" si="15"/>
        <v>5.0719818611663037</v>
      </c>
      <c r="AG21" s="966">
        <f t="shared" si="16"/>
        <v>4.9497474683058327</v>
      </c>
      <c r="AH21" s="940" t="e">
        <f t="shared" si="5"/>
        <v>#VALUE!</v>
      </c>
      <c r="AI21" s="967">
        <f t="shared" si="17"/>
        <v>8</v>
      </c>
      <c r="AJ21" s="967">
        <f t="shared" si="18"/>
        <v>50</v>
      </c>
      <c r="AK21" s="967">
        <f t="shared" si="19"/>
        <v>8</v>
      </c>
      <c r="AL21" s="968">
        <f t="shared" si="20"/>
        <v>50</v>
      </c>
      <c r="AM21" s="969"/>
      <c r="AN21" s="970"/>
      <c r="AO21" s="971"/>
      <c r="AP21" s="972" t="s">
        <v>1653</v>
      </c>
      <c r="AQ21" s="972"/>
      <c r="AR21" s="281"/>
      <c r="AS21" s="281"/>
      <c r="AT21" s="281"/>
      <c r="AU21" s="281"/>
      <c r="AV21" s="281"/>
      <c r="AW21" s="281"/>
      <c r="AX21" s="282"/>
      <c r="AY21" s="280"/>
      <c r="AZ21" s="280"/>
      <c r="BA21" s="280"/>
      <c r="BB21" s="280"/>
      <c r="BD21" s="34" t="str">
        <f t="shared" si="6"/>
        <v>-</v>
      </c>
      <c r="BE21" s="34" t="str">
        <f t="shared" si="7"/>
        <v>HX300LAD + Z100MB</v>
      </c>
      <c r="BF21" s="34" t="str">
        <f t="shared" si="8"/>
        <v>-</v>
      </c>
      <c r="BI21" s="10">
        <f t="shared" si="9"/>
        <v>3</v>
      </c>
      <c r="BJ21" s="11">
        <f t="shared" si="21"/>
        <v>2.1</v>
      </c>
      <c r="BK21" s="10">
        <f t="shared" si="10"/>
        <v>2.1</v>
      </c>
      <c r="BL21" s="10">
        <f t="shared" si="11"/>
        <v>3</v>
      </c>
      <c r="BM21" s="10">
        <f t="shared" si="12"/>
        <v>2</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24"/>
      <c r="B22" s="7"/>
      <c r="C22" s="919">
        <v>7.1006600000000004</v>
      </c>
      <c r="D22" s="920" t="s">
        <v>1665</v>
      </c>
      <c r="E22" s="921" t="s">
        <v>1180</v>
      </c>
      <c r="F22" s="922" t="s">
        <v>1670</v>
      </c>
      <c r="G22" s="923" t="s">
        <v>1659</v>
      </c>
      <c r="H22" s="924" t="s">
        <v>1669</v>
      </c>
      <c r="I22" s="925" t="s">
        <v>1180</v>
      </c>
      <c r="J22" s="101">
        <v>-101.96</v>
      </c>
      <c r="K22" s="102">
        <v>-447.09</v>
      </c>
      <c r="L22" s="103">
        <v>162.46</v>
      </c>
      <c r="M22" s="974" t="s">
        <v>1672</v>
      </c>
      <c r="N22" s="104" t="s">
        <v>1667</v>
      </c>
      <c r="O22" s="327" t="s">
        <v>1180</v>
      </c>
      <c r="P22" s="926">
        <v>2.1</v>
      </c>
      <c r="Q22" s="927" t="s">
        <v>1180</v>
      </c>
      <c r="R22" s="928" t="e">
        <f>IF(AND(ISBLANK(P22),ISTEXT(Q22)),"t1?",IF(AND(ISBLANK(Q22),ISBLANK(P22)),"",VLOOKUP(BD22,Materialliste!$A$2:$B$1477,2,FALSE)))</f>
        <v>#N/A</v>
      </c>
      <c r="S22" s="926">
        <v>3</v>
      </c>
      <c r="T22" s="929" t="s">
        <v>1673</v>
      </c>
      <c r="U22" s="928" t="e">
        <f>IF(AND(ISBLANK(S22),ISTEXT(T22)),"t2?",IF(AND(ISBLANK(T22),ISBLANK(S22)),"",VLOOKUP(BE22,Materialliste!$A$2:$B$1477,2,FALSE)))</f>
        <v>#N/A</v>
      </c>
      <c r="V22" s="926"/>
      <c r="W22" s="929"/>
      <c r="X22" s="930" t="str">
        <f>IF(AND(ISBLANK(V22),ISTEXT(W22)),"t3?",IF(AND(ISBLANK(W22),ISBLANK(V22)),"",VLOOKUP(BF22,Materialliste!$A$2:$B$1477,2,FALSE)))</f>
        <v/>
      </c>
      <c r="Y22" s="931" t="s">
        <v>1645</v>
      </c>
      <c r="Z22" s="932">
        <f t="shared" si="0"/>
        <v>2.2800000000000002</v>
      </c>
      <c r="AA22" s="933" t="str">
        <f>IF(AND(ISNUMBER(R22),ISNUMBER(U22)),IF(ISTEXT(X22),(R22+U22)/(220*3*10)+0.9,(R22+U22+X22)/(220*3*10)+0.9),"?Re")</f>
        <v>?Re</v>
      </c>
      <c r="AB22" s="934" t="e">
        <f t="shared" si="1"/>
        <v>#VALUE!</v>
      </c>
      <c r="AC22" s="935" t="e">
        <f t="shared" si="2"/>
        <v>#N/A</v>
      </c>
      <c r="AD22" s="936" t="e">
        <f t="shared" si="3"/>
        <v>#N/A</v>
      </c>
      <c r="AE22" s="937" t="e">
        <f t="shared" si="4"/>
        <v>#VALUE!</v>
      </c>
      <c r="AF22" s="938">
        <f>IF(G22="S","-",IF(OR(G22="M",G22="B"),1.6,IF(P22=0,"",3.5*SQRT(MIN(P22,S22)))))</f>
        <v>5.0719818611663037</v>
      </c>
      <c r="AG22" s="939" t="str">
        <f>IF(V22&gt;0,(IF(G22="S","-",IF(OR(G22="M",G22="B"),1.6,3.5*SQRT(MIN(S22,V22))))),"")</f>
        <v/>
      </c>
      <c r="AH22" s="940" t="e">
        <f t="shared" si="5"/>
        <v>#VALUE!</v>
      </c>
      <c r="AI22" s="941">
        <f>IF(ISBLANK(G22),"",IF(ISNUMBER($AK$8),$AK$8,IF(G22="R",0,IF(G22="S",4,IF(G22="M",5,IF(G22="B",8,IF(Z22&gt;=2,8,6)))))))</f>
        <v>8</v>
      </c>
      <c r="AJ22" s="941">
        <f>IF(ISBLANK(G22),"",IF(ISNUMBER($AL$8),$AL$8,IF(G22="R",8,IF(G22="S",50,IF(G22="M",15,IF(G22="B",0,50))))))</f>
        <v>50</v>
      </c>
      <c r="AK22" s="941">
        <f>IF(ISBLANK(G22),"",IF(ISNUMBER($AM$8),$AM$8,IF(G22="R",0,IF(G22="S","-",IF(G22="M",5,IF(G22="B",8,IF(Z22&gt;=2,8,6)))))))</f>
        <v>8</v>
      </c>
      <c r="AL22" s="942">
        <f>IF(ISBLANK(G22),"",IF(ISNUMBER($AN$8),$AN$8,IF(G22="R",8,IF(G22="S","-",IF(G22="M",15,IF(G22="B",0,50))))))</f>
        <v>50</v>
      </c>
      <c r="AM22" s="943"/>
      <c r="AN22" s="944"/>
      <c r="AO22" s="945"/>
      <c r="AP22" s="946" t="s">
        <v>1653</v>
      </c>
      <c r="AQ22" s="946" t="s">
        <v>1653</v>
      </c>
      <c r="AR22" s="281"/>
      <c r="AS22" s="281"/>
      <c r="AT22" s="281"/>
      <c r="AU22" s="281"/>
      <c r="AV22" s="281"/>
      <c r="AW22" s="281"/>
      <c r="AX22" s="282"/>
      <c r="AY22" s="280"/>
      <c r="AZ22" s="280"/>
      <c r="BA22" s="280"/>
      <c r="BB22" s="280"/>
      <c r="BD22" s="34" t="str">
        <f t="shared" si="6"/>
        <v>-</v>
      </c>
      <c r="BE22" s="34" t="str">
        <f t="shared" si="7"/>
        <v>HX300LAD + Z100MB</v>
      </c>
      <c r="BF22" s="34">
        <f t="shared" si="8"/>
        <v>0</v>
      </c>
      <c r="BI22" s="10">
        <f t="shared" si="9"/>
        <v>3</v>
      </c>
      <c r="BJ22" s="11">
        <f t="shared" si="21"/>
        <v>2.1</v>
      </c>
      <c r="BK22" s="10">
        <f t="shared" si="10"/>
        <v>2.1</v>
      </c>
      <c r="BL22" s="10">
        <f t="shared" si="11"/>
        <v>3</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24"/>
      <c r="B23" s="7"/>
      <c r="C23" s="334"/>
      <c r="D23" s="335"/>
      <c r="E23" s="336"/>
      <c r="F23" s="337"/>
      <c r="G23" s="338"/>
      <c r="H23" s="339"/>
      <c r="I23" s="340"/>
      <c r="J23" s="341"/>
      <c r="K23" s="342"/>
      <c r="L23" s="343"/>
      <c r="M23" s="330"/>
      <c r="N23" s="344"/>
      <c r="O23" s="345"/>
      <c r="P23" s="333"/>
      <c r="Q23" s="346"/>
      <c r="R23" s="347"/>
      <c r="S23" s="333"/>
      <c r="T23" s="346"/>
      <c r="U23" s="348"/>
      <c r="V23" s="333"/>
      <c r="W23" s="346"/>
      <c r="X23" s="348"/>
      <c r="Y23" s="349"/>
      <c r="Z23" s="350"/>
      <c r="AA23" s="351"/>
      <c r="AB23" s="352"/>
      <c r="AC23" s="353"/>
      <c r="AD23" s="354"/>
      <c r="AE23" s="355"/>
      <c r="AF23" s="356"/>
      <c r="AG23" s="357"/>
      <c r="AH23" s="358"/>
      <c r="AI23" s="359"/>
      <c r="AJ23" s="359"/>
      <c r="AK23" s="359"/>
      <c r="AL23" s="360"/>
      <c r="AM23" s="361"/>
      <c r="AN23" s="362"/>
      <c r="AO23" s="363"/>
      <c r="AP23" s="364"/>
      <c r="AQ23" s="364"/>
      <c r="AR23" s="281"/>
      <c r="AS23" s="281"/>
      <c r="AT23" s="281"/>
      <c r="AU23" s="281"/>
      <c r="AV23" s="281"/>
      <c r="AW23" s="281"/>
      <c r="AX23" s="282"/>
      <c r="AY23" s="280"/>
      <c r="AZ23" s="280"/>
      <c r="BA23" s="280"/>
      <c r="BB23" s="280"/>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70" t="b">
        <f t="shared" si="22"/>
        <v>0</v>
      </c>
      <c r="BP23" s="270">
        <f>IF(BO23=FALSE,0,300)</f>
        <v>0</v>
      </c>
      <c r="BQ23" s="270">
        <f>IF(BO23=FALSE,1,0.7)</f>
        <v>1</v>
      </c>
      <c r="BR23" s="270">
        <f>IF(BO23=FALSE,1,0.85)</f>
        <v>1</v>
      </c>
      <c r="BS23" s="270" t="b">
        <f t="shared" si="13"/>
        <v>1</v>
      </c>
      <c r="BT23" s="270">
        <f>IF(BS23=TRUE,0.9,0)</f>
        <v>0.9</v>
      </c>
      <c r="BU23" s="270" t="b">
        <f t="shared" si="27"/>
        <v>0</v>
      </c>
      <c r="BV23" s="270">
        <f>IF(BU23=TRUE,-0.7,0)</f>
        <v>0</v>
      </c>
      <c r="BW23" s="12"/>
      <c r="CC23" s="96" t="str">
        <f t="shared" si="29"/>
        <v/>
      </c>
      <c r="CG23" s="96" t="str">
        <f t="shared" si="30"/>
        <v/>
      </c>
    </row>
    <row r="24" spans="1:85" ht="63" customHeight="1">
      <c r="A24" s="824"/>
      <c r="B24" s="7"/>
      <c r="C24" s="334"/>
      <c r="D24" s="335"/>
      <c r="E24" s="336"/>
      <c r="F24" s="337"/>
      <c r="G24" s="338"/>
      <c r="H24" s="339"/>
      <c r="I24" s="340"/>
      <c r="J24" s="341"/>
      <c r="K24" s="342"/>
      <c r="L24" s="343"/>
      <c r="M24" s="331"/>
      <c r="N24" s="344"/>
      <c r="O24" s="345"/>
      <c r="P24" s="333"/>
      <c r="Q24" s="346"/>
      <c r="R24" s="365"/>
      <c r="S24" s="333"/>
      <c r="T24" s="346"/>
      <c r="U24" s="365"/>
      <c r="V24" s="333"/>
      <c r="W24" s="346"/>
      <c r="X24" s="365"/>
      <c r="Y24" s="349"/>
      <c r="Z24" s="350"/>
      <c r="AA24" s="351"/>
      <c r="AB24" s="352"/>
      <c r="AC24" s="353"/>
      <c r="AD24" s="354"/>
      <c r="AE24" s="355"/>
      <c r="AF24" s="356"/>
      <c r="AG24" s="357"/>
      <c r="AH24" s="358"/>
      <c r="AI24" s="359"/>
      <c r="AJ24" s="359"/>
      <c r="AK24" s="359"/>
      <c r="AL24" s="360"/>
      <c r="AM24" s="361"/>
      <c r="AN24" s="362"/>
      <c r="AO24" s="363"/>
      <c r="AP24" s="364"/>
      <c r="AQ24" s="364"/>
      <c r="AR24" s="281"/>
      <c r="AS24" s="281"/>
      <c r="AT24" s="281"/>
      <c r="AU24" s="281"/>
      <c r="AV24" s="281"/>
      <c r="AW24" s="281"/>
      <c r="AX24" s="282"/>
      <c r="AY24" s="280"/>
      <c r="AZ24" s="280"/>
      <c r="BA24" s="280"/>
      <c r="BB24" s="280"/>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70" t="b">
        <f t="shared" si="22"/>
        <v>0</v>
      </c>
      <c r="BP24" s="270">
        <f t="shared" si="23"/>
        <v>0</v>
      </c>
      <c r="BQ24" s="270">
        <f t="shared" si="24"/>
        <v>1</v>
      </c>
      <c r="BR24" s="270">
        <f t="shared" si="25"/>
        <v>1</v>
      </c>
      <c r="BS24" s="270" t="b">
        <f t="shared" si="13"/>
        <v>1</v>
      </c>
      <c r="BT24" s="270">
        <f t="shared" si="26"/>
        <v>0.9</v>
      </c>
      <c r="BU24" s="270" t="b">
        <f t="shared" si="27"/>
        <v>0</v>
      </c>
      <c r="BV24" s="270">
        <f t="shared" si="28"/>
        <v>0</v>
      </c>
      <c r="BW24" s="12"/>
      <c r="CC24" s="96" t="str">
        <f t="shared" si="29"/>
        <v/>
      </c>
      <c r="CG24" s="96" t="str">
        <f t="shared" si="30"/>
        <v/>
      </c>
    </row>
    <row r="25" spans="1:85" ht="63" customHeight="1" thickBot="1">
      <c r="A25" s="824"/>
      <c r="B25" s="7"/>
      <c r="C25" s="334"/>
      <c r="D25" s="335"/>
      <c r="E25" s="336"/>
      <c r="F25" s="337"/>
      <c r="G25" s="338"/>
      <c r="H25" s="339"/>
      <c r="I25" s="340"/>
      <c r="J25" s="341"/>
      <c r="K25" s="342"/>
      <c r="L25" s="343"/>
      <c r="M25" s="331"/>
      <c r="N25" s="344"/>
      <c r="O25" s="345"/>
      <c r="P25" s="333"/>
      <c r="Q25" s="346"/>
      <c r="R25" s="365"/>
      <c r="S25" s="333"/>
      <c r="T25" s="346"/>
      <c r="U25" s="365"/>
      <c r="V25" s="333"/>
      <c r="W25" s="346"/>
      <c r="X25" s="365"/>
      <c r="Y25" s="349"/>
      <c r="Z25" s="350"/>
      <c r="AA25" s="351"/>
      <c r="AB25" s="352"/>
      <c r="AC25" s="353"/>
      <c r="AD25" s="354"/>
      <c r="AE25" s="355"/>
      <c r="AF25" s="356"/>
      <c r="AG25" s="357"/>
      <c r="AH25" s="358"/>
      <c r="AI25" s="359"/>
      <c r="AJ25" s="359"/>
      <c r="AK25" s="359"/>
      <c r="AL25" s="360"/>
      <c r="AM25" s="361"/>
      <c r="AN25" s="362"/>
      <c r="AO25" s="363"/>
      <c r="AP25" s="364"/>
      <c r="AQ25" s="364"/>
      <c r="AR25" s="281"/>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824"/>
      <c r="B26" s="7"/>
      <c r="C26" s="366"/>
      <c r="D26" s="367"/>
      <c r="E26" s="368"/>
      <c r="F26" s="369"/>
      <c r="G26" s="370"/>
      <c r="H26" s="371"/>
      <c r="I26" s="372"/>
      <c r="J26" s="373"/>
      <c r="K26" s="374"/>
      <c r="L26" s="375"/>
      <c r="M26" s="376"/>
      <c r="N26" s="377"/>
      <c r="O26" s="378"/>
      <c r="P26" s="332"/>
      <c r="Q26" s="379"/>
      <c r="R26" s="380"/>
      <c r="S26" s="332"/>
      <c r="T26" s="379"/>
      <c r="U26" s="380"/>
      <c r="V26" s="332"/>
      <c r="W26" s="379"/>
      <c r="X26" s="381"/>
      <c r="Y26" s="382"/>
      <c r="Z26" s="383"/>
      <c r="AA26" s="384"/>
      <c r="AB26" s="385"/>
      <c r="AC26" s="386"/>
      <c r="AD26" s="354"/>
      <c r="AE26" s="387"/>
      <c r="AF26" s="388"/>
      <c r="AG26" s="389"/>
      <c r="AH26" s="358"/>
      <c r="AI26" s="390"/>
      <c r="AJ26" s="390"/>
      <c r="AK26" s="390"/>
      <c r="AL26" s="391"/>
      <c r="AM26" s="392"/>
      <c r="AN26" s="393"/>
      <c r="AO26" s="394"/>
      <c r="AP26" s="395"/>
      <c r="AQ26" s="395"/>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824"/>
      <c r="B27" s="7"/>
      <c r="C27" s="334"/>
      <c r="D27" s="335"/>
      <c r="E27" s="336"/>
      <c r="F27" s="337"/>
      <c r="G27" s="338"/>
      <c r="H27" s="339"/>
      <c r="I27" s="340"/>
      <c r="J27" s="341"/>
      <c r="K27" s="342"/>
      <c r="L27" s="343"/>
      <c r="M27" s="331"/>
      <c r="N27" s="344"/>
      <c r="O27" s="345"/>
      <c r="P27" s="333"/>
      <c r="Q27" s="346"/>
      <c r="R27" s="347"/>
      <c r="S27" s="333"/>
      <c r="T27" s="346"/>
      <c r="U27" s="348"/>
      <c r="V27" s="333"/>
      <c r="W27" s="346"/>
      <c r="X27" s="348"/>
      <c r="Y27" s="349"/>
      <c r="Z27" s="350"/>
      <c r="AA27" s="351"/>
      <c r="AB27" s="352"/>
      <c r="AC27" s="353"/>
      <c r="AD27" s="354"/>
      <c r="AE27" s="355"/>
      <c r="AF27" s="356"/>
      <c r="AG27" s="357"/>
      <c r="AH27" s="358"/>
      <c r="AI27" s="359"/>
      <c r="AJ27" s="359"/>
      <c r="AK27" s="359"/>
      <c r="AL27" s="360"/>
      <c r="AM27" s="361"/>
      <c r="AN27" s="362"/>
      <c r="AO27" s="363"/>
      <c r="AP27" s="364"/>
      <c r="AQ27" s="364"/>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824"/>
      <c r="B28" s="7"/>
      <c r="C28" s="334"/>
      <c r="D28" s="335"/>
      <c r="E28" s="336"/>
      <c r="F28" s="337"/>
      <c r="G28" s="338"/>
      <c r="H28" s="339"/>
      <c r="I28" s="340"/>
      <c r="J28" s="341"/>
      <c r="K28" s="342"/>
      <c r="L28" s="343"/>
      <c r="M28" s="331"/>
      <c r="N28" s="344"/>
      <c r="O28" s="345"/>
      <c r="P28" s="333"/>
      <c r="Q28" s="346"/>
      <c r="R28" s="365"/>
      <c r="S28" s="333"/>
      <c r="T28" s="346"/>
      <c r="U28" s="365"/>
      <c r="V28" s="333"/>
      <c r="W28" s="346"/>
      <c r="X28" s="365"/>
      <c r="Y28" s="349"/>
      <c r="Z28" s="350"/>
      <c r="AA28" s="351"/>
      <c r="AB28" s="352"/>
      <c r="AC28" s="353"/>
      <c r="AD28" s="354"/>
      <c r="AE28" s="355"/>
      <c r="AF28" s="356"/>
      <c r="AG28" s="357"/>
      <c r="AH28" s="358"/>
      <c r="AI28" s="359"/>
      <c r="AJ28" s="359"/>
      <c r="AK28" s="359"/>
      <c r="AL28" s="360"/>
      <c r="AM28" s="361"/>
      <c r="AN28" s="362"/>
      <c r="AO28" s="363"/>
      <c r="AP28" s="364"/>
      <c r="AQ28" s="364"/>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824"/>
      <c r="B29" s="7"/>
      <c r="C29" s="366"/>
      <c r="D29" s="367"/>
      <c r="E29" s="368"/>
      <c r="F29" s="369"/>
      <c r="G29" s="370"/>
      <c r="H29" s="371"/>
      <c r="I29" s="372"/>
      <c r="J29" s="373"/>
      <c r="K29" s="374"/>
      <c r="L29" s="375"/>
      <c r="M29" s="376"/>
      <c r="N29" s="377"/>
      <c r="O29" s="378"/>
      <c r="P29" s="332"/>
      <c r="Q29" s="379"/>
      <c r="R29" s="380"/>
      <c r="S29" s="332"/>
      <c r="T29" s="379"/>
      <c r="U29" s="380"/>
      <c r="V29" s="332"/>
      <c r="W29" s="379"/>
      <c r="X29" s="381"/>
      <c r="Y29" s="382"/>
      <c r="Z29" s="383"/>
      <c r="AA29" s="384"/>
      <c r="AB29" s="385"/>
      <c r="AC29" s="386"/>
      <c r="AD29" s="354"/>
      <c r="AE29" s="387"/>
      <c r="AF29" s="388"/>
      <c r="AG29" s="389"/>
      <c r="AH29" s="358"/>
      <c r="AI29" s="390"/>
      <c r="AJ29" s="390"/>
      <c r="AK29" s="390"/>
      <c r="AL29" s="391"/>
      <c r="AM29" s="392"/>
      <c r="AN29" s="393"/>
      <c r="AO29" s="394"/>
      <c r="AP29" s="395"/>
      <c r="AQ29" s="395"/>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824"/>
      <c r="B30" s="7"/>
      <c r="C30" s="366"/>
      <c r="D30" s="396"/>
      <c r="E30" s="336"/>
      <c r="F30" s="337"/>
      <c r="G30" s="338"/>
      <c r="H30" s="339"/>
      <c r="I30" s="340"/>
      <c r="J30" s="397"/>
      <c r="K30" s="398"/>
      <c r="L30" s="399"/>
      <c r="M30" s="400"/>
      <c r="N30" s="401"/>
      <c r="O30" s="402"/>
      <c r="P30" s="332"/>
      <c r="Q30" s="379"/>
      <c r="R30" s="380"/>
      <c r="S30" s="332"/>
      <c r="T30" s="379"/>
      <c r="U30" s="380"/>
      <c r="V30" s="333"/>
      <c r="W30" s="346"/>
      <c r="X30" s="348"/>
      <c r="Y30" s="382"/>
      <c r="Z30" s="383"/>
      <c r="AA30" s="384"/>
      <c r="AB30" s="385"/>
      <c r="AC30" s="386"/>
      <c r="AD30" s="354"/>
      <c r="AE30" s="387"/>
      <c r="AF30" s="388"/>
      <c r="AG30" s="389"/>
      <c r="AH30" s="358"/>
      <c r="AI30" s="390"/>
      <c r="AJ30" s="390"/>
      <c r="AK30" s="390"/>
      <c r="AL30" s="391"/>
      <c r="AM30" s="392"/>
      <c r="AN30" s="393"/>
      <c r="AO30" s="394"/>
      <c r="AP30" s="395"/>
      <c r="AQ30" s="395"/>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24"/>
      <c r="B31" s="7"/>
      <c r="C31" s="366"/>
      <c r="D31" s="396"/>
      <c r="E31" s="336"/>
      <c r="F31" s="337" t="s">
        <v>1660</v>
      </c>
      <c r="G31" s="338"/>
      <c r="H31" s="339"/>
      <c r="I31" s="340"/>
      <c r="J31" s="397"/>
      <c r="K31" s="398"/>
      <c r="L31" s="399"/>
      <c r="M31" s="400"/>
      <c r="N31" s="401"/>
      <c r="O31" s="402"/>
      <c r="P31" s="332"/>
      <c r="Q31" s="379"/>
      <c r="R31" s="380"/>
      <c r="S31" s="332"/>
      <c r="T31" s="379"/>
      <c r="U31" s="380"/>
      <c r="V31" s="333"/>
      <c r="W31" s="346"/>
      <c r="X31" s="348"/>
      <c r="Y31" s="382"/>
      <c r="Z31" s="383"/>
      <c r="AA31" s="384"/>
      <c r="AB31" s="385"/>
      <c r="AC31" s="386"/>
      <c r="AD31" s="354"/>
      <c r="AE31" s="387"/>
      <c r="AF31" s="388"/>
      <c r="AG31" s="389"/>
      <c r="AH31" s="358"/>
      <c r="AI31" s="390"/>
      <c r="AJ31" s="390"/>
      <c r="AK31" s="390"/>
      <c r="AL31" s="391"/>
      <c r="AM31" s="392"/>
      <c r="AN31" s="393"/>
      <c r="AO31" s="394"/>
      <c r="AP31" s="395"/>
      <c r="AQ31" s="395"/>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24"/>
      <c r="B32" s="7"/>
      <c r="C32" s="334"/>
      <c r="D32" s="335"/>
      <c r="E32" s="336"/>
      <c r="F32" s="337"/>
      <c r="G32" s="338"/>
      <c r="H32" s="339"/>
      <c r="I32" s="340"/>
      <c r="J32" s="341"/>
      <c r="K32" s="342"/>
      <c r="L32" s="343"/>
      <c r="M32" s="331"/>
      <c r="N32" s="344"/>
      <c r="O32" s="345"/>
      <c r="P32" s="333"/>
      <c r="Q32" s="346"/>
      <c r="R32" s="347"/>
      <c r="S32" s="333"/>
      <c r="T32" s="346"/>
      <c r="U32" s="348"/>
      <c r="V32" s="333"/>
      <c r="W32" s="346"/>
      <c r="X32" s="348"/>
      <c r="Y32" s="349"/>
      <c r="Z32" s="350"/>
      <c r="AA32" s="351"/>
      <c r="AB32" s="352"/>
      <c r="AC32" s="353"/>
      <c r="AD32" s="354"/>
      <c r="AE32" s="355"/>
      <c r="AF32" s="356"/>
      <c r="AG32" s="357"/>
      <c r="AH32" s="358"/>
      <c r="AI32" s="359"/>
      <c r="AJ32" s="359"/>
      <c r="AK32" s="359"/>
      <c r="AL32" s="360"/>
      <c r="AM32" s="361"/>
      <c r="AN32" s="362"/>
      <c r="AO32" s="363"/>
      <c r="AP32" s="364"/>
      <c r="AQ32" s="364"/>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24"/>
      <c r="B33" s="7"/>
      <c r="C33" s="334"/>
      <c r="D33" s="335"/>
      <c r="E33" s="336"/>
      <c r="F33" s="337"/>
      <c r="G33" s="338"/>
      <c r="H33" s="339"/>
      <c r="I33" s="340"/>
      <c r="J33" s="341"/>
      <c r="K33" s="342"/>
      <c r="L33" s="343"/>
      <c r="M33" s="331"/>
      <c r="N33" s="344"/>
      <c r="O33" s="345"/>
      <c r="P33" s="333"/>
      <c r="Q33" s="346"/>
      <c r="R33" s="365"/>
      <c r="S33" s="333"/>
      <c r="T33" s="346"/>
      <c r="U33" s="365"/>
      <c r="V33" s="333"/>
      <c r="W33" s="346"/>
      <c r="X33" s="365"/>
      <c r="Y33" s="349"/>
      <c r="Z33" s="350"/>
      <c r="AA33" s="351"/>
      <c r="AB33" s="352"/>
      <c r="AC33" s="353"/>
      <c r="AD33" s="354"/>
      <c r="AE33" s="355"/>
      <c r="AF33" s="356"/>
      <c r="AG33" s="357"/>
      <c r="AH33" s="358"/>
      <c r="AI33" s="359"/>
      <c r="AJ33" s="359"/>
      <c r="AK33" s="359"/>
      <c r="AL33" s="360"/>
      <c r="AM33" s="361"/>
      <c r="AN33" s="362"/>
      <c r="AO33" s="363"/>
      <c r="AP33" s="364"/>
      <c r="AQ33" s="364"/>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24"/>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676"/>
      <c r="AN34" s="677"/>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24"/>
      <c r="B35" s="7"/>
      <c r="C35" s="678" t="str">
        <f>IF($E$6="DE","Zylinderdurchmesser [mm]                 (nur für SPZ)","Cylinder Diameter (mm)              (only for SPZ)")</f>
        <v>Zylinderdurchmesser [mm]                 (nur für SPZ)</v>
      </c>
      <c r="D35" s="679"/>
      <c r="E35" s="682"/>
      <c r="F35" s="684" t="str">
        <f>IF($E$6="DE","Schweißkraft min. [N]","Welding Force min. [N]")</f>
        <v>Schweißkraft min. [N]</v>
      </c>
      <c r="G35" s="685"/>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684" t="str">
        <f>IF($E$6="DE","Ausladung [mm]","Distance to Tip [mm]")</f>
        <v>Ausladung [mm]</v>
      </c>
      <c r="J35" s="686"/>
      <c r="K35" s="685"/>
      <c r="L35" s="64">
        <v>752</v>
      </c>
      <c r="M35" s="684" t="str">
        <f>IF($E$6="DE","Zylinderkraft min. [N]","Cyl. Force min. [N]")</f>
        <v>Zylinderkraft min. [N]</v>
      </c>
      <c r="N35" s="685"/>
      <c r="O35" s="277" t="e">
        <f>IF(G8="J",(H35/L37)*2,H35/L37)</f>
        <v>#VALUE!</v>
      </c>
      <c r="P35" s="684" t="str">
        <f>IF($E$6="DE","Zylinderdruck min. [bar]","Cyl. Pressure min. [bar]")</f>
        <v>Zylinderdruck min. [bar]</v>
      </c>
      <c r="Q35" s="685"/>
      <c r="R35" s="687" t="e">
        <f>10*O35/(H37*E37)</f>
        <v>#VALUE!</v>
      </c>
      <c r="S35" s="688"/>
      <c r="T35" s="689" t="str">
        <f>IF(AND($E$6="DE",G6="RZ"),"Ergebnis Zangen-/Motorauslegung",IF(AND($E$6="ENG",G6="RZ"),"Result Gun/Motor Design",IF(AND($E$6="DE",G6="SPZ"),"Ergebnis zwischen 2,5 bar und 10 bar:",IF(AND($E$6="ENG",G6="SPZ"),"Result between 2,5 bar and 10 bar:","-"))))</f>
        <v>Ergebnis Zangen-/Motorauslegung</v>
      </c>
      <c r="U35" s="690"/>
      <c r="V35" s="690"/>
      <c r="W35" s="691"/>
      <c r="X35" s="692" t="str">
        <f>IF($E$6="DE","benötigte Elektrodenkappen für Schweißzange","required Electrode Caps for Gun")</f>
        <v>benötigte Elektrodenkappen für Schweißzange</v>
      </c>
      <c r="Y35" s="693"/>
      <c r="Z35" s="694"/>
      <c r="AA35" s="697" t="str">
        <f>IF($E$6="DE","benötigtes Fräsmesser","required Tip Dresser")</f>
        <v>benötigtes Fräsmesser</v>
      </c>
      <c r="AB35" s="698"/>
      <c r="AC35" s="699"/>
      <c r="AD35" s="698"/>
      <c r="AE35" s="700" t="str">
        <f>IF(AND(AN36="JA",COUNTIF(BO19:BO34,TRUE)=0),"kein TL4225 außen vorhanden, bitte auf 'Nein' zurückschalten / No TL4225 outside detected, please switch back to 'Nein' ","")</f>
        <v/>
      </c>
      <c r="AF35" s="701"/>
      <c r="AG35" s="701"/>
      <c r="AH35" s="701"/>
      <c r="AI35" s="701"/>
      <c r="AJ35" s="701"/>
      <c r="AK35" s="701"/>
      <c r="AL35" s="701"/>
      <c r="AM35" s="701"/>
      <c r="AN35" s="702"/>
      <c r="AO35" s="657" t="str">
        <f>IF($E$6="DE","Legende der Indizes:","Legend of Indices")</f>
        <v>Legende der Indizes:</v>
      </c>
      <c r="AP35" s="658"/>
      <c r="AQ35" s="658"/>
      <c r="AR35" s="658"/>
      <c r="AS35" s="658"/>
      <c r="AT35" s="658"/>
      <c r="AU35" s="658"/>
      <c r="AV35" s="658"/>
      <c r="AW35" s="658"/>
      <c r="AX35" s="659"/>
      <c r="AY35" s="280"/>
      <c r="AZ35" s="280"/>
      <c r="BA35" s="280"/>
      <c r="BB35" s="280"/>
    </row>
    <row r="36" spans="1:85" ht="54.75" customHeight="1" thickBot="1">
      <c r="A36" s="824"/>
      <c r="B36" s="7"/>
      <c r="C36" s="680"/>
      <c r="D36" s="681"/>
      <c r="E36" s="683"/>
      <c r="F36" s="660" t="str">
        <f>IF($E$6="DE","Schweißkraft max. [N]","Welding Force max. [N]")</f>
        <v>Schweißkraft max. [N]</v>
      </c>
      <c r="G36" s="661"/>
      <c r="H36" s="126" t="e">
        <f>IF(AND(AN36="Ja",ISTEXT(AG38),ISNUMBER(AL38)),(IF(ROUNDUP(MAX(AE19:AE34)*2300,-3)&gt;5000,(ROUNDUP(MAX(AE19:AE34)*2300,-3)/2),2500)),(IF(ROUNDUP(MAX(AB19:AB34)*2200,-3)&gt;5000,(ROUNDUP(MAX(AB19:AB34)*2200,-3)/2),2500)))</f>
        <v>#VALUE!</v>
      </c>
      <c r="I36" s="660" t="str">
        <f>IF(G6="RZ",IF($E$6="DE","Abstand Motor [mm]","Distance to Motor [mm]"),IF($E$6="DE","Abstand Zylinder [mm]","Distance to Cylinder [mm]"))</f>
        <v>Abstand Motor [mm]</v>
      </c>
      <c r="J36" s="662"/>
      <c r="K36" s="661"/>
      <c r="L36" s="65">
        <v>330</v>
      </c>
      <c r="M36" s="636" t="str">
        <f>IF($E$6="DE","Zylinderkraft max.[N]","Cyl. Force max.[N]")</f>
        <v>Zylinderkraft max.[N]</v>
      </c>
      <c r="N36" s="637"/>
      <c r="O36" s="155" t="e">
        <f>IF(G8="J",(H36/L37)*2,H36/L37)</f>
        <v>#VALUE!</v>
      </c>
      <c r="P36" s="636" t="str">
        <f>IF($E$6="DE","Zylinderdruck max. [bar]","Cyl. Pressure max. [bar]")</f>
        <v>Zylinderdruck max. [bar]</v>
      </c>
      <c r="Q36" s="637"/>
      <c r="R36" s="663" t="e">
        <f>10*O36/(H37*E37)</f>
        <v>#VALUE!</v>
      </c>
      <c r="S36" s="664"/>
      <c r="T36" s="665" t="e">
        <f>IF(G6="RZ",BD40,IF(G6="SPZ",BD37,IF(G6="-","Zangentyp/Guntype?")))</f>
        <v>#VALUE!</v>
      </c>
      <c r="U36" s="666"/>
      <c r="V36" s="666"/>
      <c r="W36" s="667"/>
      <c r="X36" s="695"/>
      <c r="Y36" s="695"/>
      <c r="Z36" s="696"/>
      <c r="AA36" s="115" t="s">
        <v>1170</v>
      </c>
      <c r="AB36" s="116" t="s">
        <v>1172</v>
      </c>
      <c r="AC36" s="116" t="s">
        <v>1171</v>
      </c>
      <c r="AD36" s="117" t="s">
        <v>1173</v>
      </c>
      <c r="AE36" s="66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69"/>
      <c r="AG36" s="669"/>
      <c r="AH36" s="669"/>
      <c r="AI36" s="669"/>
      <c r="AJ36" s="669"/>
      <c r="AK36" s="669"/>
      <c r="AL36" s="669"/>
      <c r="AM36" s="669"/>
      <c r="AN36" s="625" t="s">
        <v>1258</v>
      </c>
      <c r="AO36" s="627" t="s">
        <v>1649</v>
      </c>
      <c r="AP36" s="628"/>
      <c r="AQ36" s="628"/>
      <c r="AR36" s="628"/>
      <c r="AS36" s="628"/>
      <c r="AT36" s="628"/>
      <c r="AU36" s="628"/>
      <c r="AV36" s="628"/>
      <c r="AW36" s="628"/>
      <c r="AX36" s="629"/>
      <c r="AY36" s="280"/>
      <c r="AZ36" s="280"/>
      <c r="BA36" s="280"/>
      <c r="BB36" s="280"/>
      <c r="BD36" s="603" t="s">
        <v>1181</v>
      </c>
      <c r="BE36" s="604"/>
    </row>
    <row r="37" spans="1:85" ht="64.5" customHeight="1" thickBot="1">
      <c r="A37" s="824"/>
      <c r="B37" s="7"/>
      <c r="C37" s="636" t="str">
        <f>IF($E$6="DE","Zylinderwirkungsgrad                           (nur für SPZ)","Cylinder Efficiency                                  (only for SPZ)")</f>
        <v>Zylinderwirkungsgrad                           (nur für SPZ)</v>
      </c>
      <c r="D37" s="637"/>
      <c r="E37" s="155">
        <v>0.95</v>
      </c>
      <c r="F37" s="636" t="str">
        <f>IF($E$6="DE","Zylinderfläche [mm²] (nur für SPZ)","Cylinder Surface [mm²] (only for SPZ)")</f>
        <v>Zylinderfläche [mm²] (nur für SPZ)</v>
      </c>
      <c r="G37" s="637"/>
      <c r="H37" s="279">
        <f>IF(E36="T",2*PI()/4*POWER(E35,2),PI()/4*POWER(E35,2))</f>
        <v>0</v>
      </c>
      <c r="I37" s="638" t="str">
        <f>IF($E$6="DE","Ausladung/ Abstand","Leverage Ratio")</f>
        <v>Ausladung/ Abstand</v>
      </c>
      <c r="J37" s="639"/>
      <c r="K37" s="640"/>
      <c r="L37" s="124">
        <f>IF(G19="X",L36/L35,1)</f>
        <v>1</v>
      </c>
      <c r="M37" s="641" t="str">
        <f>IF($E$6="DE","notwendige Motorkraft min. [N]","requiered Motor Force min. [N]")</f>
        <v>notwendige Motorkraft min. [N]</v>
      </c>
      <c r="N37" s="642"/>
      <c r="O37" s="294" t="e">
        <f>IF(G8="J",(H35/L37)*2,H35/L37)</f>
        <v>#VALUE!</v>
      </c>
      <c r="P37" s="641" t="str">
        <f>IF($E$6="DE","erreichbare Motorkraft min. [N]","feasible Motor Force min. [N]")</f>
        <v>erreichbare Motorkraft min. [N]</v>
      </c>
      <c r="Q37" s="642"/>
      <c r="R37" s="643">
        <f>IF(ISNA(VLOOKUP(CONCATENATE(E38,H38,L38),Motordaten!D4:H18,3,FALSE)),"",VLOOKUP(CONCATENATE(E38,H38,L38),Motordaten!D4:H18,3,FALSE))</f>
        <v>2000</v>
      </c>
      <c r="S37" s="644"/>
      <c r="T37" s="645" t="e">
        <f>IF(G6="RZ",BD41,IF(G6="SPZ",BD38," "))</f>
        <v>#VALUE!</v>
      </c>
      <c r="U37" s="646"/>
      <c r="V37" s="646"/>
      <c r="W37" s="647"/>
      <c r="X37" s="611" t="e">
        <f t="array" ref="X37">IF(ISBLANK(AH8),IF(OR(EXACT("39D 1978-1 !",AH19:AH34)),"39D 1978-1 !",(IF(OR(EXACT("59D 388 863 !",AH19:AH34)),"59D 388 863 !",(IF(OR(EXACT("59D 358 170 !",AH19:AH34)),"59D 358 170 !",IF(OR(EXACT("39D 1979-2 !",AH19:AH34)),"39D 1979-2 !","39D 1978-2")))))),AH8)</f>
        <v>#VALUE!</v>
      </c>
      <c r="Y37" s="611"/>
      <c r="Z37" s="612"/>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670"/>
      <c r="AF37" s="671"/>
      <c r="AG37" s="671"/>
      <c r="AH37" s="671"/>
      <c r="AI37" s="671"/>
      <c r="AJ37" s="671"/>
      <c r="AK37" s="671"/>
      <c r="AL37" s="671"/>
      <c r="AM37" s="671"/>
      <c r="AN37" s="626"/>
      <c r="AO37" s="630"/>
      <c r="AP37" s="631"/>
      <c r="AQ37" s="631"/>
      <c r="AR37" s="631"/>
      <c r="AS37" s="631"/>
      <c r="AT37" s="631"/>
      <c r="AU37" s="631"/>
      <c r="AV37" s="631"/>
      <c r="AW37" s="631"/>
      <c r="AX37" s="632"/>
      <c r="AY37" s="280"/>
      <c r="AZ37" s="280"/>
      <c r="BA37" s="280"/>
      <c r="BB37" s="280"/>
      <c r="BD37" s="578"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79"/>
    </row>
    <row r="38" spans="1:85" ht="54.75" customHeight="1" thickBot="1">
      <c r="A38" s="824"/>
      <c r="B38" s="7"/>
      <c r="C38" s="613" t="str">
        <f>IF($E$6="DE","Roboterhersteller                                          (nur für RZ)","Robot Supplier                                  (only for RZ)")</f>
        <v>Roboterhersteller                                          (nur für RZ)</v>
      </c>
      <c r="D38" s="614"/>
      <c r="E38" s="271" t="s">
        <v>1137</v>
      </c>
      <c r="F38" s="613" t="str">
        <f>IF($E$6="DE","Zangengrundkörper               (nur für RZ)","Weld Gun Basic Body (only for RZ)")</f>
        <v>Zangengrundkörper               (nur für RZ)</v>
      </c>
      <c r="G38" s="614"/>
      <c r="H38" s="271" t="s">
        <v>1147</v>
      </c>
      <c r="I38" s="615" t="str">
        <f>IF($E$6="DE","Motorhersteller                           (nur für RZ)","Motor Supplier                        (only for RZ)")</f>
        <v>Motorhersteller                           (nur für RZ)</v>
      </c>
      <c r="J38" s="616"/>
      <c r="K38" s="617"/>
      <c r="L38" s="271" t="s">
        <v>1131</v>
      </c>
      <c r="M38" s="618" t="str">
        <f>IF($E$6="DE","notwendige Motorkraft max. [N]","requiered Motor Force max. [N]")</f>
        <v>notwendige Motorkraft max. [N]</v>
      </c>
      <c r="N38" s="619"/>
      <c r="O38" s="329" t="e">
        <f>IF(G8="J",(H36/L37)*2,H36/L37)</f>
        <v>#VALUE!</v>
      </c>
      <c r="P38" s="618" t="str">
        <f>IF($E$6="DE","erreichbare Motorkraft max. [N]"," feasible  Motor Force max. [N]")</f>
        <v>erreichbare Motorkraft max. [N]</v>
      </c>
      <c r="Q38" s="619"/>
      <c r="R38" s="620">
        <f>IF(ISNA(VLOOKUP(CONCATENATE(E38,H38,L38),Motordaten!D4:H18,4,FALSE)),"",VLOOKUP(CONCATENATE(E38,H38,L38),Motordaten!D4:H18,4,FALSE))</f>
        <v>12000</v>
      </c>
      <c r="S38" s="621"/>
      <c r="T38" s="622" t="str">
        <f>IF($E$6="DE","Max.Elektrodenkraft lt.Zeichnung[N]","Max.Electrode-Force acc.to Drw.[N]")</f>
        <v>Max.Elektrodenkraft lt.Zeichnung[N]</v>
      </c>
      <c r="U38" s="623"/>
      <c r="V38" s="624"/>
      <c r="W38" s="66">
        <v>5000</v>
      </c>
      <c r="X38" s="570" t="str">
        <f>IF($E$6="DE","Motorbezeichnung:","Designation of Motor")</f>
        <v>Motorbezeichnung:</v>
      </c>
      <c r="Y38" s="571"/>
      <c r="Z38" s="572"/>
      <c r="AA38" s="570" t="str">
        <f>VLOOKUP(CONCATENATE(E38,H38,L38),Motordaten!D4:H18,5,FALSE)</f>
        <v>Fanuc X100 V1.0</v>
      </c>
      <c r="AB38" s="571"/>
      <c r="AC38" s="571"/>
      <c r="AD38" s="572"/>
      <c r="AE38" s="573" t="str">
        <f>IF(E6="DE", "Name:                         (Abteilung)","Name                        (Dept.)")</f>
        <v>Name:                         (Abteilung)</v>
      </c>
      <c r="AF38" s="574"/>
      <c r="AG38" s="575"/>
      <c r="AH38" s="576"/>
      <c r="AI38" s="577"/>
      <c r="AJ38" s="672" t="str">
        <f>IF(E6="DE", "Datum","Date")</f>
        <v>Datum</v>
      </c>
      <c r="AK38" s="574"/>
      <c r="AL38" s="673"/>
      <c r="AM38" s="674"/>
      <c r="AN38" s="675"/>
      <c r="AO38" s="630"/>
      <c r="AP38" s="631"/>
      <c r="AQ38" s="631"/>
      <c r="AR38" s="631"/>
      <c r="AS38" s="631"/>
      <c r="AT38" s="631"/>
      <c r="AU38" s="631"/>
      <c r="AV38" s="631"/>
      <c r="AW38" s="631"/>
      <c r="AX38" s="632"/>
      <c r="AY38" s="280"/>
      <c r="AZ38" s="280"/>
      <c r="BA38" s="280"/>
      <c r="BB38" s="280"/>
      <c r="BD38" s="578" t="e">
        <f>IF($E$6="DE",IF(AND(R35&gt;2.5,R35&lt;10,R36&gt;2.5,R36&lt;10)," ","Rücksprache Prozessmethodik"),IF(AND(R35&gt;2.5,R35&lt;10,R36&gt;2.5,R36&lt;10)," ","consult Process Methodology"))</f>
        <v>#VALUE!</v>
      </c>
      <c r="BE38" s="579"/>
    </row>
    <row r="39" spans="1:85" ht="30" customHeight="1">
      <c r="A39" s="824"/>
      <c r="B39" s="7"/>
      <c r="C39" s="648"/>
      <c r="D39" s="649"/>
      <c r="E39" s="649"/>
      <c r="F39" s="649"/>
      <c r="G39" s="652" t="s">
        <v>0</v>
      </c>
      <c r="H39" s="653"/>
      <c r="I39" s="653"/>
      <c r="J39" s="654"/>
      <c r="K39" s="655" t="s">
        <v>12</v>
      </c>
      <c r="L39" s="656"/>
      <c r="M39" s="561" t="str">
        <f>IF(ISBLANK('Blatt 0'!O55),"Blatt 0!",'Blatt 0'!O55)</f>
        <v>1340</v>
      </c>
      <c r="N39" s="562"/>
      <c r="O39" s="565" t="s">
        <v>13</v>
      </c>
      <c r="P39" s="568" t="s">
        <v>2</v>
      </c>
      <c r="Q39" s="569"/>
      <c r="R39" s="597" t="str">
        <f>IF(ISBLANK('Blatt 0'!X55),"Blatt 0!",'Blatt 0'!X55)</f>
        <v>Pohl</v>
      </c>
      <c r="S39" s="598"/>
      <c r="T39" s="598"/>
      <c r="U39" s="598"/>
      <c r="V39" s="599"/>
      <c r="W39" s="127" t="s">
        <v>39</v>
      </c>
      <c r="X39" s="600">
        <f>IF(ISBLANK('Blatt 0'!AB55),"Blatt 0!",'Blatt 0'!AB55)</f>
        <v>6</v>
      </c>
      <c r="Y39" s="601"/>
      <c r="Z39" s="602"/>
      <c r="AA39" s="295"/>
      <c r="AB39" s="150"/>
      <c r="AC39" s="143"/>
      <c r="AD39" s="144"/>
      <c r="AE39" s="144"/>
      <c r="AF39" s="275"/>
      <c r="AG39" s="275"/>
      <c r="AH39" s="144"/>
      <c r="AI39" s="144"/>
      <c r="AJ39" s="144"/>
      <c r="AK39" s="160"/>
      <c r="AL39" s="276"/>
      <c r="AM39" s="118" t="s">
        <v>40</v>
      </c>
      <c r="AN39" s="119" t="s">
        <v>5</v>
      </c>
      <c r="AO39" s="630"/>
      <c r="AP39" s="631"/>
      <c r="AQ39" s="631"/>
      <c r="AR39" s="631"/>
      <c r="AS39" s="631"/>
      <c r="AT39" s="631"/>
      <c r="AU39" s="631"/>
      <c r="AV39" s="631"/>
      <c r="AW39" s="631"/>
      <c r="AX39" s="632"/>
      <c r="AY39" s="280"/>
      <c r="AZ39" s="280"/>
      <c r="BA39" s="280"/>
      <c r="BB39" s="280"/>
      <c r="BD39" s="603" t="s">
        <v>1182</v>
      </c>
      <c r="BE39" s="604"/>
      <c r="BF39" s="5"/>
      <c r="BG39" s="5"/>
      <c r="BH39" s="5"/>
      <c r="BI39" s="5"/>
      <c r="BJ39" s="5"/>
      <c r="BK39" s="5"/>
      <c r="BL39" s="5"/>
    </row>
    <row r="40" spans="1:85" ht="30" customHeight="1">
      <c r="A40" s="824"/>
      <c r="B40" s="7"/>
      <c r="C40" s="648"/>
      <c r="D40" s="649"/>
      <c r="E40" s="649"/>
      <c r="F40" s="649"/>
      <c r="G40" s="605" t="s">
        <v>31</v>
      </c>
      <c r="H40" s="606"/>
      <c r="I40" s="606"/>
      <c r="J40" s="607"/>
      <c r="K40" s="531" t="s">
        <v>15</v>
      </c>
      <c r="L40" s="532"/>
      <c r="M40" s="563"/>
      <c r="N40" s="564"/>
      <c r="O40" s="566"/>
      <c r="P40" s="537" t="s">
        <v>19</v>
      </c>
      <c r="Q40" s="538"/>
      <c r="R40" s="542"/>
      <c r="S40" s="543"/>
      <c r="T40" s="543"/>
      <c r="U40" s="543"/>
      <c r="V40" s="544"/>
      <c r="W40" s="128" t="s">
        <v>41</v>
      </c>
      <c r="X40" s="548"/>
      <c r="Y40" s="549"/>
      <c r="Z40" s="550"/>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30"/>
      <c r="AP40" s="631"/>
      <c r="AQ40" s="631"/>
      <c r="AR40" s="631"/>
      <c r="AS40" s="631"/>
      <c r="AT40" s="631"/>
      <c r="AU40" s="631"/>
      <c r="AV40" s="631"/>
      <c r="AW40" s="631"/>
      <c r="AX40" s="632"/>
      <c r="AY40" s="280"/>
      <c r="AZ40" s="280"/>
      <c r="BA40" s="280"/>
      <c r="BB40" s="280"/>
      <c r="BD40" s="578"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79"/>
      <c r="BF40" s="49"/>
      <c r="BG40" s="49"/>
      <c r="BH40" s="5"/>
      <c r="BI40" s="5"/>
      <c r="BJ40" s="5"/>
      <c r="BK40" s="5"/>
      <c r="BL40" s="5"/>
    </row>
    <row r="41" spans="1:85" ht="30" customHeight="1">
      <c r="A41" s="824"/>
      <c r="B41" s="7"/>
      <c r="C41" s="648"/>
      <c r="D41" s="649"/>
      <c r="E41" s="649"/>
      <c r="F41" s="649"/>
      <c r="G41" s="608"/>
      <c r="H41" s="609"/>
      <c r="I41" s="609"/>
      <c r="J41" s="610"/>
      <c r="K41" s="531" t="s">
        <v>1</v>
      </c>
      <c r="L41" s="532"/>
      <c r="M41" s="533" t="str">
        <f>IF(ISBLANK('Blatt 0'!O57),"Blatt 0!",'Blatt 0'!O57)</f>
        <v>KJLTVL211340</v>
      </c>
      <c r="N41" s="534"/>
      <c r="O41" s="567"/>
      <c r="P41" s="537" t="s">
        <v>7</v>
      </c>
      <c r="Q41" s="538"/>
      <c r="R41" s="539" t="str">
        <f>IF(ISBLANK('Blatt 0'!X57),"Blatt 0!",'Blatt 0'!X57)</f>
        <v>Machholz</v>
      </c>
      <c r="S41" s="540"/>
      <c r="T41" s="540"/>
      <c r="U41" s="540"/>
      <c r="V41" s="541"/>
      <c r="W41" s="128" t="s">
        <v>8</v>
      </c>
      <c r="X41" s="555">
        <f>IF(ISBLANK('Blatt 0'!AA57),"Blatt 0!",'Blatt 0'!AA57)</f>
        <v>45014</v>
      </c>
      <c r="Y41" s="556"/>
      <c r="Z41" s="557"/>
      <c r="AA41" s="151"/>
      <c r="AB41" s="152"/>
      <c r="AC41" s="147"/>
      <c r="AD41" s="158"/>
      <c r="AE41" s="158"/>
      <c r="AF41" s="158"/>
      <c r="AG41" s="158"/>
      <c r="AH41" s="158"/>
      <c r="AI41" s="158"/>
      <c r="AJ41" s="158"/>
      <c r="AK41" s="158"/>
      <c r="AL41" s="159"/>
      <c r="AM41" s="122"/>
      <c r="AN41" s="123"/>
      <c r="AO41" s="630"/>
      <c r="AP41" s="631"/>
      <c r="AQ41" s="631"/>
      <c r="AR41" s="631"/>
      <c r="AS41" s="631"/>
      <c r="AT41" s="631"/>
      <c r="AU41" s="631"/>
      <c r="AV41" s="631"/>
      <c r="AW41" s="631"/>
      <c r="AX41" s="632"/>
      <c r="AY41" s="280"/>
      <c r="AZ41" s="280"/>
      <c r="BA41" s="280"/>
      <c r="BB41" s="280"/>
      <c r="BC41" s="48"/>
      <c r="BD41" s="578" t="e">
        <f>IF(O37&lt;R37,IF(E6="DE","Rücksprache Prozessmethodik","consult Process Methodology")," ")</f>
        <v>#VALUE!</v>
      </c>
      <c r="BE41" s="579"/>
      <c r="BF41" s="49"/>
      <c r="BG41" s="49"/>
    </row>
    <row r="42" spans="1:85" ht="30" customHeight="1">
      <c r="A42" s="824"/>
      <c r="B42" s="7"/>
      <c r="C42" s="648"/>
      <c r="D42" s="649"/>
      <c r="E42" s="649"/>
      <c r="F42" s="649"/>
      <c r="G42" s="580" t="s">
        <v>14</v>
      </c>
      <c r="H42" s="581"/>
      <c r="I42" s="581"/>
      <c r="J42" s="582"/>
      <c r="K42" s="531" t="s">
        <v>17</v>
      </c>
      <c r="L42" s="532"/>
      <c r="M42" s="563"/>
      <c r="N42" s="564"/>
      <c r="O42" s="583" t="s">
        <v>18</v>
      </c>
      <c r="P42" s="586" t="s">
        <v>44</v>
      </c>
      <c r="Q42" s="532"/>
      <c r="R42" s="542"/>
      <c r="S42" s="543"/>
      <c r="T42" s="543"/>
      <c r="U42" s="543"/>
      <c r="V42" s="544"/>
      <c r="W42" s="129" t="s">
        <v>22</v>
      </c>
      <c r="X42" s="558"/>
      <c r="Y42" s="559"/>
      <c r="Z42" s="560"/>
      <c r="AA42" s="587" t="s">
        <v>1259</v>
      </c>
      <c r="AB42" s="588"/>
      <c r="AC42" s="589" t="str">
        <f>IF(ISBLANK('Blatt 0'!AF58),"Blatt 0!",'Blatt 0'!AF58)</f>
        <v>66-A53-96D 313785</v>
      </c>
      <c r="AD42" s="590"/>
      <c r="AE42" s="590"/>
      <c r="AF42" s="590"/>
      <c r="AG42" s="590"/>
      <c r="AH42" s="590"/>
      <c r="AI42" s="590"/>
      <c r="AJ42" s="590"/>
      <c r="AK42" s="590"/>
      <c r="AL42" s="591"/>
      <c r="AM42" s="595" t="s">
        <v>1644</v>
      </c>
      <c r="AN42" s="523" t="s">
        <v>1654</v>
      </c>
      <c r="AO42" s="630"/>
      <c r="AP42" s="631"/>
      <c r="AQ42" s="631"/>
      <c r="AR42" s="631"/>
      <c r="AS42" s="631"/>
      <c r="AT42" s="631"/>
      <c r="AU42" s="631"/>
      <c r="AV42" s="631"/>
      <c r="AW42" s="631"/>
      <c r="AX42" s="632"/>
      <c r="AY42" s="280"/>
      <c r="AZ42" s="280"/>
      <c r="BA42" s="280"/>
      <c r="BB42" s="280"/>
      <c r="BC42" s="48"/>
      <c r="BD42" s="48"/>
      <c r="BE42" s="48"/>
      <c r="BF42" s="48"/>
    </row>
    <row r="43" spans="1:85" ht="30" customHeight="1">
      <c r="A43" s="824"/>
      <c r="B43" s="7"/>
      <c r="C43" s="648"/>
      <c r="D43" s="649"/>
      <c r="E43" s="649"/>
      <c r="F43" s="649"/>
      <c r="G43" s="525" t="s">
        <v>45</v>
      </c>
      <c r="H43" s="526"/>
      <c r="I43" s="526"/>
      <c r="J43" s="527"/>
      <c r="K43" s="531" t="s">
        <v>6</v>
      </c>
      <c r="L43" s="532"/>
      <c r="M43" s="533" t="str">
        <f>IF(ISBLANK('Blatt 0'!O59),"Blatt 0!",'Blatt 0'!O59)</f>
        <v>VW336</v>
      </c>
      <c r="N43" s="534"/>
      <c r="O43" s="584"/>
      <c r="P43" s="537" t="s">
        <v>10</v>
      </c>
      <c r="Q43" s="538"/>
      <c r="R43" s="539" t="str">
        <f>IF(ISBLANK('Blatt 0'!X59),"Blatt 0!",'Blatt 0'!X59)</f>
        <v>Sallame</v>
      </c>
      <c r="S43" s="540"/>
      <c r="T43" s="540"/>
      <c r="U43" s="540"/>
      <c r="V43" s="541"/>
      <c r="W43" s="129" t="s">
        <v>9</v>
      </c>
      <c r="X43" s="545" t="str">
        <f>IF(ISBLANK('Blatt 0'!AA59),"Blatt 0!",'Blatt 0'!AA59)</f>
        <v>Dengler</v>
      </c>
      <c r="Y43" s="546"/>
      <c r="Z43" s="547"/>
      <c r="AA43" s="587"/>
      <c r="AB43" s="588"/>
      <c r="AC43" s="589"/>
      <c r="AD43" s="590"/>
      <c r="AE43" s="590"/>
      <c r="AF43" s="590"/>
      <c r="AG43" s="590"/>
      <c r="AH43" s="590"/>
      <c r="AI43" s="590"/>
      <c r="AJ43" s="590"/>
      <c r="AK43" s="590"/>
      <c r="AL43" s="591"/>
      <c r="AM43" s="595"/>
      <c r="AN43" s="523"/>
      <c r="AO43" s="630"/>
      <c r="AP43" s="631"/>
      <c r="AQ43" s="631"/>
      <c r="AR43" s="631"/>
      <c r="AS43" s="631"/>
      <c r="AT43" s="631"/>
      <c r="AU43" s="631"/>
      <c r="AV43" s="631"/>
      <c r="AW43" s="631"/>
      <c r="AX43" s="632"/>
      <c r="AY43" s="280"/>
      <c r="AZ43" s="280"/>
      <c r="BA43" s="280"/>
      <c r="BB43" s="280"/>
      <c r="BC43" s="48"/>
      <c r="BD43" s="48"/>
      <c r="BE43" s="48"/>
      <c r="BF43" s="48"/>
    </row>
    <row r="44" spans="1:85" ht="30" customHeight="1" thickBot="1">
      <c r="A44" s="825"/>
      <c r="B44" s="7"/>
      <c r="C44" s="650"/>
      <c r="D44" s="651"/>
      <c r="E44" s="651"/>
      <c r="F44" s="651"/>
      <c r="G44" s="528"/>
      <c r="H44" s="529"/>
      <c r="I44" s="529"/>
      <c r="J44" s="530"/>
      <c r="K44" s="551" t="s">
        <v>16</v>
      </c>
      <c r="L44" s="552"/>
      <c r="M44" s="535"/>
      <c r="N44" s="536"/>
      <c r="O44" s="585"/>
      <c r="P44" s="553" t="s">
        <v>46</v>
      </c>
      <c r="Q44" s="554"/>
      <c r="R44" s="542"/>
      <c r="S44" s="543"/>
      <c r="T44" s="543"/>
      <c r="U44" s="543"/>
      <c r="V44" s="544"/>
      <c r="W44" s="130" t="s">
        <v>23</v>
      </c>
      <c r="X44" s="548"/>
      <c r="Y44" s="549"/>
      <c r="Z44" s="550"/>
      <c r="AA44" s="153"/>
      <c r="AB44" s="154"/>
      <c r="AC44" s="592"/>
      <c r="AD44" s="593"/>
      <c r="AE44" s="593"/>
      <c r="AF44" s="593"/>
      <c r="AG44" s="593"/>
      <c r="AH44" s="593"/>
      <c r="AI44" s="593"/>
      <c r="AJ44" s="593"/>
      <c r="AK44" s="593"/>
      <c r="AL44" s="594"/>
      <c r="AM44" s="596"/>
      <c r="AN44" s="524"/>
      <c r="AO44" s="633"/>
      <c r="AP44" s="634"/>
      <c r="AQ44" s="634"/>
      <c r="AR44" s="634"/>
      <c r="AS44" s="634"/>
      <c r="AT44" s="634"/>
      <c r="AU44" s="634"/>
      <c r="AV44" s="634"/>
      <c r="AW44" s="634"/>
      <c r="AX44" s="635"/>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18" t="s">
        <v>1639</v>
      </c>
      <c r="N45" s="518"/>
      <c r="O45" s="302" t="s">
        <v>1638</v>
      </c>
      <c r="P45" s="302"/>
      <c r="Q45" s="301"/>
      <c r="R45" s="301"/>
      <c r="S45" s="301"/>
      <c r="T45" s="301"/>
      <c r="U45" s="301"/>
      <c r="V45" s="301"/>
      <c r="W45" s="301"/>
      <c r="X45" s="301"/>
      <c r="Y45" s="301"/>
      <c r="Z45" s="301"/>
      <c r="AA45" s="301"/>
      <c r="AB45" s="301"/>
      <c r="AC45" s="274"/>
      <c r="AD45" s="274"/>
      <c r="AF45" s="519" t="s">
        <v>1248</v>
      </c>
      <c r="AG45" s="519"/>
      <c r="AH45" s="520" t="s">
        <v>1253</v>
      </c>
      <c r="AI45" s="520"/>
      <c r="AJ45" s="520"/>
      <c r="AK45" s="521" t="s">
        <v>1247</v>
      </c>
      <c r="AL45" s="521"/>
      <c r="AM45" s="522"/>
      <c r="AN45" s="522"/>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900" t="s">
        <v>1625</v>
      </c>
    </row>
    <row r="2" spans="1:5" ht="15" customHeight="1">
      <c r="A2" s="27"/>
      <c r="B2" s="28"/>
      <c r="C2" s="914" t="s">
        <v>1636</v>
      </c>
      <c r="D2" s="901"/>
      <c r="E2" s="289"/>
    </row>
    <row r="3" spans="1:5" ht="15" customHeight="1">
      <c r="A3" s="29"/>
      <c r="B3" s="30"/>
      <c r="C3" s="914"/>
      <c r="D3" s="901"/>
      <c r="E3" s="289"/>
    </row>
    <row r="4" spans="1:5" ht="15" customHeight="1">
      <c r="A4" s="29"/>
      <c r="B4" s="30"/>
      <c r="C4" s="914"/>
      <c r="D4" s="901"/>
      <c r="E4" s="289"/>
    </row>
    <row r="5" spans="1:5" ht="15" customHeight="1" thickBot="1">
      <c r="A5" s="29"/>
      <c r="B5" s="30"/>
      <c r="C5" s="915"/>
      <c r="D5" s="902"/>
      <c r="E5" s="289"/>
    </row>
    <row r="6" spans="1:5" ht="13.8">
      <c r="A6" s="21" t="s">
        <v>76</v>
      </c>
      <c r="B6" s="22">
        <v>300</v>
      </c>
      <c r="C6" s="911" t="s">
        <v>77</v>
      </c>
      <c r="D6" s="290"/>
    </row>
    <row r="7" spans="1:5" ht="13.2">
      <c r="A7" s="17" t="s">
        <v>78</v>
      </c>
      <c r="B7" s="18">
        <v>300</v>
      </c>
      <c r="C7" s="912"/>
      <c r="D7" s="291"/>
    </row>
    <row r="8" spans="1:5" ht="13.2">
      <c r="A8" s="17" t="s">
        <v>79</v>
      </c>
      <c r="B8" s="18">
        <v>300</v>
      </c>
      <c r="C8" s="912"/>
      <c r="D8" s="291"/>
    </row>
    <row r="9" spans="1:5" ht="13.2">
      <c r="A9" s="17" t="s">
        <v>80</v>
      </c>
      <c r="B9" s="18">
        <v>300</v>
      </c>
      <c r="C9" s="912"/>
      <c r="D9" s="291"/>
    </row>
    <row r="10" spans="1:5" ht="13.2">
      <c r="A10" s="17" t="s">
        <v>1185</v>
      </c>
      <c r="B10" s="18">
        <v>300</v>
      </c>
      <c r="C10" s="912"/>
      <c r="D10" s="291"/>
    </row>
    <row r="11" spans="1:5" ht="13.2">
      <c r="A11" s="17" t="s">
        <v>81</v>
      </c>
      <c r="B11" s="18">
        <v>300</v>
      </c>
      <c r="C11" s="912"/>
      <c r="D11" s="291"/>
    </row>
    <row r="12" spans="1:5" ht="13.2">
      <c r="A12" s="17" t="s">
        <v>1186</v>
      </c>
      <c r="B12" s="18">
        <v>300</v>
      </c>
      <c r="C12" s="912"/>
      <c r="D12" s="291"/>
    </row>
    <row r="13" spans="1:5" ht="13.2">
      <c r="A13" s="17" t="s">
        <v>82</v>
      </c>
      <c r="B13" s="18">
        <v>300</v>
      </c>
      <c r="C13" s="912"/>
      <c r="D13" s="291"/>
    </row>
    <row r="14" spans="1:5" ht="13.2">
      <c r="A14" s="17" t="s">
        <v>1187</v>
      </c>
      <c r="B14" s="18">
        <v>300</v>
      </c>
      <c r="C14" s="912"/>
      <c r="D14" s="291"/>
    </row>
    <row r="15" spans="1:5" ht="13.2">
      <c r="A15" s="17" t="s">
        <v>83</v>
      </c>
      <c r="B15" s="18">
        <v>300</v>
      </c>
      <c r="C15" s="912"/>
      <c r="D15" s="291"/>
    </row>
    <row r="16" spans="1:5" ht="13.2">
      <c r="A16" s="17" t="s">
        <v>84</v>
      </c>
      <c r="B16" s="18">
        <v>300</v>
      </c>
      <c r="C16" s="912"/>
      <c r="D16" s="291"/>
    </row>
    <row r="17" spans="1:4" ht="13.2">
      <c r="A17" s="17" t="s">
        <v>85</v>
      </c>
      <c r="B17" s="18">
        <v>300</v>
      </c>
      <c r="C17" s="912"/>
      <c r="D17" s="291"/>
    </row>
    <row r="18" spans="1:4" ht="13.2">
      <c r="A18" s="17" t="s">
        <v>86</v>
      </c>
      <c r="B18" s="18">
        <v>300</v>
      </c>
      <c r="C18" s="912"/>
      <c r="D18" s="291"/>
    </row>
    <row r="19" spans="1:4" ht="13.2">
      <c r="A19" s="17" t="s">
        <v>87</v>
      </c>
      <c r="B19" s="18">
        <v>300</v>
      </c>
      <c r="C19" s="912"/>
      <c r="D19" s="291"/>
    </row>
    <row r="20" spans="1:4" ht="13.2">
      <c r="A20" s="17" t="s">
        <v>88</v>
      </c>
      <c r="B20" s="18">
        <v>300</v>
      </c>
      <c r="C20" s="912"/>
      <c r="D20" s="291"/>
    </row>
    <row r="21" spans="1:4" ht="13.2">
      <c r="A21" s="17" t="s">
        <v>89</v>
      </c>
      <c r="B21" s="18">
        <v>300</v>
      </c>
      <c r="C21" s="912"/>
      <c r="D21" s="291"/>
    </row>
    <row r="22" spans="1:4" ht="13.2">
      <c r="A22" s="17" t="s">
        <v>90</v>
      </c>
      <c r="B22" s="18">
        <v>300</v>
      </c>
      <c r="C22" s="912"/>
      <c r="D22" s="291"/>
    </row>
    <row r="23" spans="1:4" ht="13.2">
      <c r="A23" s="17" t="s">
        <v>91</v>
      </c>
      <c r="B23" s="18">
        <v>300</v>
      </c>
      <c r="C23" s="912"/>
      <c r="D23" s="291"/>
    </row>
    <row r="24" spans="1:4" ht="13.2">
      <c r="A24" s="17" t="s">
        <v>92</v>
      </c>
      <c r="B24" s="18">
        <v>300</v>
      </c>
      <c r="C24" s="912"/>
      <c r="D24" s="291"/>
    </row>
    <row r="25" spans="1:4" ht="13.2">
      <c r="A25" s="17" t="s">
        <v>93</v>
      </c>
      <c r="B25" s="18">
        <v>300</v>
      </c>
      <c r="C25" s="912"/>
      <c r="D25" s="291"/>
    </row>
    <row r="26" spans="1:4" ht="13.2">
      <c r="A26" s="17" t="s">
        <v>94</v>
      </c>
      <c r="B26" s="18">
        <v>300</v>
      </c>
      <c r="C26" s="912"/>
      <c r="D26" s="291"/>
    </row>
    <row r="27" spans="1:4" ht="13.2">
      <c r="A27" s="17" t="s">
        <v>95</v>
      </c>
      <c r="B27" s="18">
        <v>300</v>
      </c>
      <c r="C27" s="912"/>
      <c r="D27" s="291"/>
    </row>
    <row r="28" spans="1:4" ht="13.2">
      <c r="A28" s="17" t="s">
        <v>96</v>
      </c>
      <c r="B28" s="18">
        <v>300</v>
      </c>
      <c r="C28" s="912"/>
      <c r="D28" s="291"/>
    </row>
    <row r="29" spans="1:4" ht="13.2">
      <c r="A29" s="17" t="s">
        <v>1188</v>
      </c>
      <c r="B29" s="18">
        <v>300</v>
      </c>
      <c r="C29" s="912"/>
      <c r="D29" s="291"/>
    </row>
    <row r="30" spans="1:4" ht="13.2">
      <c r="A30" s="17" t="s">
        <v>97</v>
      </c>
      <c r="B30" s="18">
        <v>300</v>
      </c>
      <c r="C30" s="912"/>
      <c r="D30" s="291"/>
    </row>
    <row r="31" spans="1:4" ht="13.2">
      <c r="A31" s="17" t="s">
        <v>1189</v>
      </c>
      <c r="B31" s="18">
        <v>300</v>
      </c>
      <c r="C31" s="912"/>
      <c r="D31" s="291"/>
    </row>
    <row r="32" spans="1:4" ht="13.2">
      <c r="A32" s="17" t="s">
        <v>98</v>
      </c>
      <c r="B32" s="18">
        <v>300</v>
      </c>
      <c r="C32" s="912"/>
      <c r="D32" s="291"/>
    </row>
    <row r="33" spans="1:4" ht="13.2">
      <c r="A33" s="17" t="s">
        <v>1190</v>
      </c>
      <c r="B33" s="18">
        <v>300</v>
      </c>
      <c r="C33" s="912"/>
      <c r="D33" s="291"/>
    </row>
    <row r="34" spans="1:4" ht="13.2">
      <c r="A34" s="17" t="s">
        <v>99</v>
      </c>
      <c r="B34" s="18">
        <v>300</v>
      </c>
      <c r="C34" s="912"/>
      <c r="D34" s="291"/>
    </row>
    <row r="35" spans="1:4" ht="13.2">
      <c r="A35" s="17" t="s">
        <v>100</v>
      </c>
      <c r="B35" s="18">
        <v>300</v>
      </c>
      <c r="C35" s="912"/>
      <c r="D35" s="291"/>
    </row>
    <row r="36" spans="1:4" ht="13.2">
      <c r="A36" s="17" t="s">
        <v>101</v>
      </c>
      <c r="B36" s="18">
        <v>300</v>
      </c>
      <c r="C36" s="912"/>
      <c r="D36" s="291"/>
    </row>
    <row r="37" spans="1:4" ht="13.2">
      <c r="A37" s="17" t="s">
        <v>102</v>
      </c>
      <c r="B37" s="18">
        <v>300</v>
      </c>
      <c r="C37" s="912"/>
      <c r="D37" s="291"/>
    </row>
    <row r="38" spans="1:4" ht="13.2">
      <c r="A38" s="17" t="s">
        <v>103</v>
      </c>
      <c r="B38" s="18">
        <v>300</v>
      </c>
      <c r="C38" s="912"/>
      <c r="D38" s="291"/>
    </row>
    <row r="39" spans="1:4" ht="13.2">
      <c r="A39" s="17" t="s">
        <v>104</v>
      </c>
      <c r="B39" s="18">
        <v>300</v>
      </c>
      <c r="C39" s="912"/>
      <c r="D39" s="291"/>
    </row>
    <row r="40" spans="1:4" ht="13.2">
      <c r="A40" s="17" t="s">
        <v>105</v>
      </c>
      <c r="B40" s="18">
        <v>300</v>
      </c>
      <c r="C40" s="912"/>
      <c r="D40" s="291"/>
    </row>
    <row r="41" spans="1:4" ht="13.2">
      <c r="A41" s="17" t="s">
        <v>106</v>
      </c>
      <c r="B41" s="18">
        <v>300</v>
      </c>
      <c r="C41" s="912"/>
      <c r="D41" s="291"/>
    </row>
    <row r="42" spans="1:4" ht="13.2">
      <c r="A42" s="17" t="s">
        <v>107</v>
      </c>
      <c r="B42" s="18">
        <v>300</v>
      </c>
      <c r="C42" s="912"/>
      <c r="D42" s="291"/>
    </row>
    <row r="43" spans="1:4" ht="13.2">
      <c r="A43" s="17" t="s">
        <v>108</v>
      </c>
      <c r="B43" s="18">
        <v>300</v>
      </c>
      <c r="C43" s="912"/>
      <c r="D43" s="291"/>
    </row>
    <row r="44" spans="1:4" ht="13.2">
      <c r="A44" s="17" t="s">
        <v>109</v>
      </c>
      <c r="B44" s="18">
        <v>300</v>
      </c>
      <c r="C44" s="912"/>
      <c r="D44" s="291"/>
    </row>
    <row r="45" spans="1:4" ht="13.2">
      <c r="A45" s="17" t="s">
        <v>110</v>
      </c>
      <c r="B45" s="18">
        <v>300</v>
      </c>
      <c r="C45" s="912"/>
      <c r="D45" s="291"/>
    </row>
    <row r="46" spans="1:4" ht="13.2">
      <c r="A46" s="17" t="s">
        <v>111</v>
      </c>
      <c r="B46" s="18">
        <v>300</v>
      </c>
      <c r="C46" s="912"/>
      <c r="D46" s="291"/>
    </row>
    <row r="47" spans="1:4" ht="13.2">
      <c r="A47" s="17" t="s">
        <v>112</v>
      </c>
      <c r="B47" s="18">
        <v>300</v>
      </c>
      <c r="C47" s="912"/>
      <c r="D47" s="291"/>
    </row>
    <row r="48" spans="1:4" ht="13.2">
      <c r="A48" s="17" t="s">
        <v>1191</v>
      </c>
      <c r="B48" s="18">
        <v>300</v>
      </c>
      <c r="C48" s="912"/>
      <c r="D48" s="291"/>
    </row>
    <row r="49" spans="1:4" ht="13.2">
      <c r="A49" s="17" t="s">
        <v>113</v>
      </c>
      <c r="B49" s="18">
        <v>300</v>
      </c>
      <c r="C49" s="912"/>
      <c r="D49" s="291"/>
    </row>
    <row r="50" spans="1:4" ht="13.2">
      <c r="A50" s="17" t="s">
        <v>1192</v>
      </c>
      <c r="B50" s="18">
        <v>300</v>
      </c>
      <c r="C50" s="912"/>
      <c r="D50" s="291"/>
    </row>
    <row r="51" spans="1:4" ht="13.2">
      <c r="A51" s="17" t="s">
        <v>114</v>
      </c>
      <c r="B51" s="18">
        <v>300</v>
      </c>
      <c r="C51" s="912"/>
      <c r="D51" s="291"/>
    </row>
    <row r="52" spans="1:4" ht="13.2">
      <c r="A52" s="17" t="s">
        <v>1193</v>
      </c>
      <c r="B52" s="18">
        <v>300</v>
      </c>
      <c r="C52" s="912"/>
      <c r="D52" s="291"/>
    </row>
    <row r="53" spans="1:4" ht="13.2">
      <c r="A53" s="17" t="s">
        <v>115</v>
      </c>
      <c r="B53" s="18">
        <v>300</v>
      </c>
      <c r="C53" s="912"/>
      <c r="D53" s="291"/>
    </row>
    <row r="54" spans="1:4" ht="13.2">
      <c r="A54" s="17" t="s">
        <v>116</v>
      </c>
      <c r="B54" s="18">
        <v>300</v>
      </c>
      <c r="C54" s="912"/>
      <c r="D54" s="291"/>
    </row>
    <row r="55" spans="1:4" ht="13.2">
      <c r="A55" s="17" t="s">
        <v>117</v>
      </c>
      <c r="B55" s="18">
        <v>300</v>
      </c>
      <c r="C55" s="912"/>
      <c r="D55" s="291"/>
    </row>
    <row r="56" spans="1:4" ht="13.2">
      <c r="A56" s="17" t="s">
        <v>118</v>
      </c>
      <c r="B56" s="18">
        <v>300</v>
      </c>
      <c r="C56" s="912"/>
      <c r="D56" s="291"/>
    </row>
    <row r="57" spans="1:4" ht="13.2">
      <c r="A57" s="17" t="s">
        <v>119</v>
      </c>
      <c r="B57" s="18">
        <v>300</v>
      </c>
      <c r="C57" s="912"/>
      <c r="D57" s="291"/>
    </row>
    <row r="58" spans="1:4" ht="13.2">
      <c r="A58" s="17" t="s">
        <v>120</v>
      </c>
      <c r="B58" s="18">
        <v>300</v>
      </c>
      <c r="C58" s="912"/>
      <c r="D58" s="291"/>
    </row>
    <row r="59" spans="1:4" ht="13.2">
      <c r="A59" s="17" t="s">
        <v>121</v>
      </c>
      <c r="B59" s="18">
        <v>300</v>
      </c>
      <c r="C59" s="912"/>
      <c r="D59" s="291"/>
    </row>
    <row r="60" spans="1:4" ht="13.2">
      <c r="A60" s="17" t="s">
        <v>122</v>
      </c>
      <c r="B60" s="18">
        <v>300</v>
      </c>
      <c r="C60" s="912"/>
      <c r="D60" s="291"/>
    </row>
    <row r="61" spans="1:4" ht="13.2">
      <c r="A61" s="17" t="s">
        <v>123</v>
      </c>
      <c r="B61" s="18">
        <v>300</v>
      </c>
      <c r="C61" s="912"/>
      <c r="D61" s="291"/>
    </row>
    <row r="62" spans="1:4" ht="13.2">
      <c r="A62" s="17" t="s">
        <v>124</v>
      </c>
      <c r="B62" s="18">
        <v>300</v>
      </c>
      <c r="C62" s="912"/>
      <c r="D62" s="291"/>
    </row>
    <row r="63" spans="1:4" ht="13.2">
      <c r="A63" s="17" t="s">
        <v>125</v>
      </c>
      <c r="B63" s="18">
        <v>240</v>
      </c>
      <c r="C63" s="912"/>
      <c r="D63" s="291"/>
    </row>
    <row r="64" spans="1:4" ht="13.2">
      <c r="A64" s="17" t="s">
        <v>126</v>
      </c>
      <c r="B64" s="18">
        <v>240</v>
      </c>
      <c r="C64" s="912"/>
      <c r="D64" s="291"/>
    </row>
    <row r="65" spans="1:4" ht="13.2">
      <c r="A65" s="17" t="s">
        <v>127</v>
      </c>
      <c r="B65" s="18">
        <v>240</v>
      </c>
      <c r="C65" s="912"/>
      <c r="D65" s="291"/>
    </row>
    <row r="66" spans="1:4" ht="13.2">
      <c r="A66" s="17" t="s">
        <v>128</v>
      </c>
      <c r="B66" s="18">
        <v>240</v>
      </c>
      <c r="C66" s="912"/>
      <c r="D66" s="291"/>
    </row>
    <row r="67" spans="1:4" ht="13.2">
      <c r="A67" s="17" t="s">
        <v>1194</v>
      </c>
      <c r="B67" s="18">
        <v>240</v>
      </c>
      <c r="C67" s="912"/>
      <c r="D67" s="291"/>
    </row>
    <row r="68" spans="1:4" ht="13.2">
      <c r="A68" s="17" t="s">
        <v>129</v>
      </c>
      <c r="B68" s="18">
        <v>240</v>
      </c>
      <c r="C68" s="912"/>
      <c r="D68" s="291"/>
    </row>
    <row r="69" spans="1:4" ht="13.2">
      <c r="A69" s="17" t="s">
        <v>1195</v>
      </c>
      <c r="B69" s="18">
        <v>240</v>
      </c>
      <c r="C69" s="912"/>
      <c r="D69" s="291"/>
    </row>
    <row r="70" spans="1:4" ht="13.2">
      <c r="A70" s="17" t="s">
        <v>130</v>
      </c>
      <c r="B70" s="18">
        <v>240</v>
      </c>
      <c r="C70" s="912"/>
      <c r="D70" s="291"/>
    </row>
    <row r="71" spans="1:4" ht="13.2">
      <c r="A71" s="17" t="s">
        <v>1196</v>
      </c>
      <c r="B71" s="18">
        <v>240</v>
      </c>
      <c r="C71" s="912"/>
      <c r="D71" s="291"/>
    </row>
    <row r="72" spans="1:4" ht="13.2">
      <c r="A72" s="17" t="s">
        <v>131</v>
      </c>
      <c r="B72" s="18">
        <v>240</v>
      </c>
      <c r="C72" s="912"/>
      <c r="D72" s="291"/>
    </row>
    <row r="73" spans="1:4" ht="13.2">
      <c r="A73" s="17" t="s">
        <v>132</v>
      </c>
      <c r="B73" s="18">
        <v>240</v>
      </c>
      <c r="C73" s="912"/>
      <c r="D73" s="291"/>
    </row>
    <row r="74" spans="1:4" ht="13.2">
      <c r="A74" s="17" t="s">
        <v>133</v>
      </c>
      <c r="B74" s="18">
        <v>240</v>
      </c>
      <c r="C74" s="912"/>
      <c r="D74" s="291"/>
    </row>
    <row r="75" spans="1:4" ht="13.2">
      <c r="A75" s="17" t="s">
        <v>134</v>
      </c>
      <c r="B75" s="18">
        <v>240</v>
      </c>
      <c r="C75" s="912"/>
      <c r="D75" s="291"/>
    </row>
    <row r="76" spans="1:4" ht="13.2">
      <c r="A76" s="17" t="s">
        <v>135</v>
      </c>
      <c r="B76" s="18">
        <v>240</v>
      </c>
      <c r="C76" s="912"/>
      <c r="D76" s="291"/>
    </row>
    <row r="77" spans="1:4" ht="13.2">
      <c r="A77" s="17" t="s">
        <v>136</v>
      </c>
      <c r="B77" s="18">
        <v>240</v>
      </c>
      <c r="C77" s="912"/>
      <c r="D77" s="291"/>
    </row>
    <row r="78" spans="1:4" ht="13.2">
      <c r="A78" s="17" t="s">
        <v>137</v>
      </c>
      <c r="B78" s="18">
        <v>240</v>
      </c>
      <c r="C78" s="912"/>
      <c r="D78" s="291"/>
    </row>
    <row r="79" spans="1:4" ht="13.2">
      <c r="A79" s="17" t="s">
        <v>138</v>
      </c>
      <c r="B79" s="18">
        <v>240</v>
      </c>
      <c r="C79" s="912"/>
      <c r="D79" s="291"/>
    </row>
    <row r="80" spans="1:4" ht="13.2">
      <c r="A80" s="17" t="s">
        <v>139</v>
      </c>
      <c r="B80" s="18">
        <v>240</v>
      </c>
      <c r="C80" s="912"/>
      <c r="D80" s="291"/>
    </row>
    <row r="81" spans="1:4" ht="13.2">
      <c r="A81" s="17" t="s">
        <v>140</v>
      </c>
      <c r="B81" s="18">
        <v>240</v>
      </c>
      <c r="C81" s="912"/>
      <c r="D81" s="291"/>
    </row>
    <row r="82" spans="1:4" ht="13.2">
      <c r="A82" s="17" t="s">
        <v>141</v>
      </c>
      <c r="B82" s="18">
        <v>240</v>
      </c>
      <c r="C82" s="912"/>
      <c r="D82" s="291"/>
    </row>
    <row r="83" spans="1:4" ht="13.2">
      <c r="A83" s="17" t="s">
        <v>142</v>
      </c>
      <c r="B83" s="18">
        <v>240</v>
      </c>
      <c r="C83" s="912"/>
      <c r="D83" s="291"/>
    </row>
    <row r="84" spans="1:4" ht="13.2">
      <c r="A84" s="17" t="s">
        <v>143</v>
      </c>
      <c r="B84" s="18">
        <v>240</v>
      </c>
      <c r="C84" s="912"/>
      <c r="D84" s="291"/>
    </row>
    <row r="85" spans="1:4" ht="13.2">
      <c r="A85" s="17" t="s">
        <v>144</v>
      </c>
      <c r="B85" s="18">
        <v>240</v>
      </c>
      <c r="C85" s="912"/>
      <c r="D85" s="291"/>
    </row>
    <row r="86" spans="1:4" ht="13.2">
      <c r="A86" s="17" t="s">
        <v>1197</v>
      </c>
      <c r="B86" s="18">
        <v>240</v>
      </c>
      <c r="C86" s="912"/>
      <c r="D86" s="291"/>
    </row>
    <row r="87" spans="1:4" ht="13.2">
      <c r="A87" s="17" t="s">
        <v>145</v>
      </c>
      <c r="B87" s="18">
        <v>240</v>
      </c>
      <c r="C87" s="912"/>
      <c r="D87" s="291"/>
    </row>
    <row r="88" spans="1:4" ht="13.2">
      <c r="A88" s="17" t="s">
        <v>1198</v>
      </c>
      <c r="B88" s="18">
        <v>240</v>
      </c>
      <c r="C88" s="912"/>
      <c r="D88" s="291"/>
    </row>
    <row r="89" spans="1:4" ht="13.2">
      <c r="A89" s="17" t="s">
        <v>146</v>
      </c>
      <c r="B89" s="18">
        <v>240</v>
      </c>
      <c r="C89" s="912"/>
      <c r="D89" s="291"/>
    </row>
    <row r="90" spans="1:4" ht="13.2">
      <c r="A90" s="17" t="s">
        <v>1199</v>
      </c>
      <c r="B90" s="18">
        <v>240</v>
      </c>
      <c r="C90" s="912"/>
      <c r="D90" s="291"/>
    </row>
    <row r="91" spans="1:4" ht="13.2">
      <c r="A91" s="17" t="s">
        <v>147</v>
      </c>
      <c r="B91" s="18">
        <v>240</v>
      </c>
      <c r="C91" s="912"/>
      <c r="D91" s="291"/>
    </row>
    <row r="92" spans="1:4" ht="13.2">
      <c r="A92" s="17" t="s">
        <v>148</v>
      </c>
      <c r="B92" s="18">
        <v>240</v>
      </c>
      <c r="C92" s="912"/>
      <c r="D92" s="291"/>
    </row>
    <row r="93" spans="1:4" ht="13.2">
      <c r="A93" s="17" t="s">
        <v>149</v>
      </c>
      <c r="B93" s="18">
        <v>240</v>
      </c>
      <c r="C93" s="912"/>
      <c r="D93" s="291"/>
    </row>
    <row r="94" spans="1:4" ht="13.2">
      <c r="A94" s="17" t="s">
        <v>150</v>
      </c>
      <c r="B94" s="18">
        <v>240</v>
      </c>
      <c r="C94" s="912"/>
      <c r="D94" s="291"/>
    </row>
    <row r="95" spans="1:4" ht="13.2">
      <c r="A95" s="17" t="s">
        <v>151</v>
      </c>
      <c r="B95" s="18">
        <v>240</v>
      </c>
      <c r="C95" s="912"/>
      <c r="D95" s="291"/>
    </row>
    <row r="96" spans="1:4" ht="13.2">
      <c r="A96" s="17" t="s">
        <v>152</v>
      </c>
      <c r="B96" s="18">
        <v>240</v>
      </c>
      <c r="C96" s="912"/>
      <c r="D96" s="291"/>
    </row>
    <row r="97" spans="1:4" ht="13.2">
      <c r="A97" s="17" t="s">
        <v>153</v>
      </c>
      <c r="B97" s="18">
        <v>240</v>
      </c>
      <c r="C97" s="912"/>
      <c r="D97" s="291"/>
    </row>
    <row r="98" spans="1:4" ht="13.2">
      <c r="A98" s="17" t="s">
        <v>154</v>
      </c>
      <c r="B98" s="18">
        <v>240</v>
      </c>
      <c r="C98" s="912"/>
      <c r="D98" s="291"/>
    </row>
    <row r="99" spans="1:4" ht="13.2">
      <c r="A99" s="17" t="s">
        <v>155</v>
      </c>
      <c r="B99" s="18">
        <v>240</v>
      </c>
      <c r="C99" s="912"/>
      <c r="D99" s="291"/>
    </row>
    <row r="100" spans="1:4" ht="13.2">
      <c r="A100" s="17" t="s">
        <v>156</v>
      </c>
      <c r="B100" s="18">
        <v>240</v>
      </c>
      <c r="C100" s="912"/>
      <c r="D100" s="291"/>
    </row>
    <row r="101" spans="1:4" ht="13.2">
      <c r="A101" s="17" t="s">
        <v>157</v>
      </c>
      <c r="B101" s="18">
        <v>240</v>
      </c>
      <c r="C101" s="912"/>
      <c r="D101" s="291"/>
    </row>
    <row r="102" spans="1:4" ht="13.2">
      <c r="A102" s="17" t="s">
        <v>158</v>
      </c>
      <c r="B102" s="18">
        <v>240</v>
      </c>
      <c r="C102" s="912"/>
      <c r="D102" s="291"/>
    </row>
    <row r="103" spans="1:4" ht="13.2">
      <c r="A103" s="17" t="s">
        <v>159</v>
      </c>
      <c r="B103" s="18">
        <v>240</v>
      </c>
      <c r="C103" s="912"/>
      <c r="D103" s="291"/>
    </row>
    <row r="104" spans="1:4" ht="13.2">
      <c r="A104" s="17" t="s">
        <v>160</v>
      </c>
      <c r="B104" s="18">
        <v>240</v>
      </c>
      <c r="C104" s="912"/>
      <c r="D104" s="291"/>
    </row>
    <row r="105" spans="1:4" ht="13.2">
      <c r="A105" s="17" t="s">
        <v>1200</v>
      </c>
      <c r="B105" s="18">
        <v>240</v>
      </c>
      <c r="C105" s="912"/>
      <c r="D105" s="291"/>
    </row>
    <row r="106" spans="1:4" ht="13.2">
      <c r="A106" s="17" t="s">
        <v>161</v>
      </c>
      <c r="B106" s="18">
        <v>240</v>
      </c>
      <c r="C106" s="912"/>
      <c r="D106" s="291"/>
    </row>
    <row r="107" spans="1:4" ht="13.2">
      <c r="A107" s="17" t="s">
        <v>1201</v>
      </c>
      <c r="B107" s="18">
        <v>240</v>
      </c>
      <c r="C107" s="912"/>
      <c r="D107" s="291"/>
    </row>
    <row r="108" spans="1:4" ht="13.2">
      <c r="A108" s="17" t="s">
        <v>162</v>
      </c>
      <c r="B108" s="18">
        <v>240</v>
      </c>
      <c r="C108" s="912"/>
      <c r="D108" s="291"/>
    </row>
    <row r="109" spans="1:4" ht="13.2">
      <c r="A109" s="17" t="s">
        <v>1202</v>
      </c>
      <c r="B109" s="18">
        <v>240</v>
      </c>
      <c r="C109" s="912"/>
      <c r="D109" s="291"/>
    </row>
    <row r="110" spans="1:4" ht="13.2">
      <c r="A110" s="17" t="s">
        <v>163</v>
      </c>
      <c r="B110" s="18">
        <v>240</v>
      </c>
      <c r="C110" s="912"/>
      <c r="D110" s="291"/>
    </row>
    <row r="111" spans="1:4" ht="13.2">
      <c r="A111" s="17" t="s">
        <v>164</v>
      </c>
      <c r="B111" s="18">
        <v>240</v>
      </c>
      <c r="C111" s="912"/>
      <c r="D111" s="291"/>
    </row>
    <row r="112" spans="1:4" ht="13.2">
      <c r="A112" s="17" t="s">
        <v>165</v>
      </c>
      <c r="B112" s="18">
        <v>240</v>
      </c>
      <c r="C112" s="912"/>
      <c r="D112" s="291"/>
    </row>
    <row r="113" spans="1:4" ht="13.2">
      <c r="A113" s="17" t="s">
        <v>166</v>
      </c>
      <c r="B113" s="18">
        <v>240</v>
      </c>
      <c r="C113" s="912"/>
      <c r="D113" s="291"/>
    </row>
    <row r="114" spans="1:4" ht="13.2">
      <c r="A114" s="17" t="s">
        <v>167</v>
      </c>
      <c r="B114" s="18">
        <v>240</v>
      </c>
      <c r="C114" s="912"/>
      <c r="D114" s="291"/>
    </row>
    <row r="115" spans="1:4" ht="13.2">
      <c r="A115" s="17" t="s">
        <v>168</v>
      </c>
      <c r="B115" s="18">
        <v>240</v>
      </c>
      <c r="C115" s="912"/>
      <c r="D115" s="291"/>
    </row>
    <row r="116" spans="1:4" ht="13.2">
      <c r="A116" s="17" t="s">
        <v>169</v>
      </c>
      <c r="B116" s="18">
        <v>240</v>
      </c>
      <c r="C116" s="912"/>
      <c r="D116" s="291"/>
    </row>
    <row r="117" spans="1:4" ht="13.2">
      <c r="A117" s="17" t="s">
        <v>170</v>
      </c>
      <c r="B117" s="18">
        <v>240</v>
      </c>
      <c r="C117" s="912"/>
      <c r="D117" s="291"/>
    </row>
    <row r="118" spans="1:4" ht="13.2">
      <c r="A118" s="17" t="s">
        <v>171</v>
      </c>
      <c r="B118" s="18">
        <v>240</v>
      </c>
      <c r="C118" s="912"/>
      <c r="D118" s="291"/>
    </row>
    <row r="119" spans="1:4" ht="13.2">
      <c r="A119" s="17" t="s">
        <v>172</v>
      </c>
      <c r="B119" s="18">
        <v>240</v>
      </c>
      <c r="C119" s="912"/>
      <c r="D119" s="291"/>
    </row>
    <row r="120" spans="1:4" ht="13.2">
      <c r="A120" s="17" t="s">
        <v>173</v>
      </c>
      <c r="B120" s="18">
        <v>180</v>
      </c>
      <c r="C120" s="912"/>
      <c r="D120" s="291"/>
    </row>
    <row r="121" spans="1:4" ht="13.2">
      <c r="A121" s="17" t="s">
        <v>174</v>
      </c>
      <c r="B121" s="18">
        <v>180</v>
      </c>
      <c r="C121" s="912"/>
      <c r="D121" s="291"/>
    </row>
    <row r="122" spans="1:4" ht="13.2">
      <c r="A122" s="17" t="s">
        <v>175</v>
      </c>
      <c r="B122" s="18">
        <v>180</v>
      </c>
      <c r="C122" s="912"/>
      <c r="D122" s="291"/>
    </row>
    <row r="123" spans="1:4" ht="13.2">
      <c r="A123" s="17" t="s">
        <v>176</v>
      </c>
      <c r="B123" s="18">
        <v>180</v>
      </c>
      <c r="C123" s="912"/>
      <c r="D123" s="291"/>
    </row>
    <row r="124" spans="1:4" ht="13.2">
      <c r="A124" s="17" t="s">
        <v>1203</v>
      </c>
      <c r="B124" s="18">
        <v>180</v>
      </c>
      <c r="C124" s="912"/>
      <c r="D124" s="291"/>
    </row>
    <row r="125" spans="1:4" ht="13.2">
      <c r="A125" s="17" t="s">
        <v>177</v>
      </c>
      <c r="B125" s="18">
        <v>180</v>
      </c>
      <c r="C125" s="912"/>
      <c r="D125" s="291"/>
    </row>
    <row r="126" spans="1:4" ht="13.2">
      <c r="A126" s="17" t="s">
        <v>1204</v>
      </c>
      <c r="B126" s="18">
        <v>180</v>
      </c>
      <c r="C126" s="912"/>
      <c r="D126" s="291"/>
    </row>
    <row r="127" spans="1:4" ht="13.2">
      <c r="A127" s="17" t="s">
        <v>178</v>
      </c>
      <c r="B127" s="18">
        <v>180</v>
      </c>
      <c r="C127" s="912"/>
      <c r="D127" s="291"/>
    </row>
    <row r="128" spans="1:4" ht="13.2">
      <c r="A128" s="17" t="s">
        <v>1205</v>
      </c>
      <c r="B128" s="18">
        <v>180</v>
      </c>
      <c r="C128" s="912"/>
      <c r="D128" s="291"/>
    </row>
    <row r="129" spans="1:4" ht="13.2">
      <c r="A129" s="17" t="s">
        <v>179</v>
      </c>
      <c r="B129" s="18">
        <v>180</v>
      </c>
      <c r="C129" s="912"/>
      <c r="D129" s="291"/>
    </row>
    <row r="130" spans="1:4" ht="13.2">
      <c r="A130" s="17" t="s">
        <v>180</v>
      </c>
      <c r="B130" s="18">
        <v>180</v>
      </c>
      <c r="C130" s="912"/>
      <c r="D130" s="291"/>
    </row>
    <row r="131" spans="1:4" ht="13.2">
      <c r="A131" s="17" t="s">
        <v>181</v>
      </c>
      <c r="B131" s="18">
        <v>180</v>
      </c>
      <c r="C131" s="912"/>
      <c r="D131" s="291"/>
    </row>
    <row r="132" spans="1:4" ht="13.2">
      <c r="A132" s="17" t="s">
        <v>182</v>
      </c>
      <c r="B132" s="18">
        <v>180</v>
      </c>
      <c r="C132" s="912"/>
      <c r="D132" s="291"/>
    </row>
    <row r="133" spans="1:4" ht="13.2">
      <c r="A133" s="17" t="s">
        <v>183</v>
      </c>
      <c r="B133" s="18">
        <v>180</v>
      </c>
      <c r="C133" s="912"/>
      <c r="D133" s="291"/>
    </row>
    <row r="134" spans="1:4" ht="13.2">
      <c r="A134" s="17" t="s">
        <v>184</v>
      </c>
      <c r="B134" s="18">
        <v>180</v>
      </c>
      <c r="C134" s="912"/>
      <c r="D134" s="291"/>
    </row>
    <row r="135" spans="1:4" ht="13.2">
      <c r="A135" s="17" t="s">
        <v>185</v>
      </c>
      <c r="B135" s="18">
        <v>180</v>
      </c>
      <c r="C135" s="912"/>
      <c r="D135" s="291"/>
    </row>
    <row r="136" spans="1:4" ht="13.2">
      <c r="A136" s="17" t="s">
        <v>186</v>
      </c>
      <c r="B136" s="18">
        <v>180</v>
      </c>
      <c r="C136" s="912"/>
      <c r="D136" s="291"/>
    </row>
    <row r="137" spans="1:4" ht="13.2">
      <c r="A137" s="17" t="s">
        <v>187</v>
      </c>
      <c r="B137" s="18">
        <v>180</v>
      </c>
      <c r="C137" s="912"/>
      <c r="D137" s="291"/>
    </row>
    <row r="138" spans="1:4" ht="13.2">
      <c r="A138" s="17" t="s">
        <v>188</v>
      </c>
      <c r="B138" s="18">
        <v>180</v>
      </c>
      <c r="C138" s="912"/>
      <c r="D138" s="291"/>
    </row>
    <row r="139" spans="1:4" ht="13.2">
      <c r="A139" s="17" t="s">
        <v>189</v>
      </c>
      <c r="B139" s="18">
        <v>180</v>
      </c>
      <c r="C139" s="912"/>
      <c r="D139" s="291"/>
    </row>
    <row r="140" spans="1:4" ht="13.2">
      <c r="A140" s="17" t="s">
        <v>190</v>
      </c>
      <c r="B140" s="18">
        <v>180</v>
      </c>
      <c r="C140" s="912"/>
      <c r="D140" s="291"/>
    </row>
    <row r="141" spans="1:4" ht="13.2">
      <c r="A141" s="17" t="s">
        <v>191</v>
      </c>
      <c r="B141" s="18">
        <v>180</v>
      </c>
      <c r="C141" s="912"/>
      <c r="D141" s="291"/>
    </row>
    <row r="142" spans="1:4" ht="13.2">
      <c r="A142" s="17" t="s">
        <v>192</v>
      </c>
      <c r="B142" s="18">
        <v>180</v>
      </c>
      <c r="C142" s="912"/>
      <c r="D142" s="291"/>
    </row>
    <row r="143" spans="1:4" ht="13.2">
      <c r="A143" s="17" t="s">
        <v>1206</v>
      </c>
      <c r="B143" s="18">
        <v>180</v>
      </c>
      <c r="C143" s="912"/>
      <c r="D143" s="291"/>
    </row>
    <row r="144" spans="1:4" ht="13.2">
      <c r="A144" s="17" t="s">
        <v>193</v>
      </c>
      <c r="B144" s="18">
        <v>180</v>
      </c>
      <c r="C144" s="912"/>
      <c r="D144" s="291"/>
    </row>
    <row r="145" spans="1:4" ht="13.2">
      <c r="A145" s="17" t="s">
        <v>1207</v>
      </c>
      <c r="B145" s="18">
        <v>180</v>
      </c>
      <c r="C145" s="912"/>
      <c r="D145" s="291"/>
    </row>
    <row r="146" spans="1:4" ht="13.2">
      <c r="A146" s="17" t="s">
        <v>194</v>
      </c>
      <c r="B146" s="18">
        <v>180</v>
      </c>
      <c r="C146" s="912"/>
      <c r="D146" s="291"/>
    </row>
    <row r="147" spans="1:4" ht="13.2">
      <c r="A147" s="17" t="s">
        <v>1208</v>
      </c>
      <c r="B147" s="18">
        <v>180</v>
      </c>
      <c r="C147" s="912"/>
      <c r="D147" s="291"/>
    </row>
    <row r="148" spans="1:4" ht="13.2">
      <c r="A148" s="17" t="s">
        <v>195</v>
      </c>
      <c r="B148" s="18">
        <v>180</v>
      </c>
      <c r="C148" s="912"/>
      <c r="D148" s="291"/>
    </row>
    <row r="149" spans="1:4" ht="13.2">
      <c r="A149" s="17" t="s">
        <v>196</v>
      </c>
      <c r="B149" s="18">
        <v>180</v>
      </c>
      <c r="C149" s="912"/>
      <c r="D149" s="291"/>
    </row>
    <row r="150" spans="1:4" ht="13.2">
      <c r="A150" s="17" t="s">
        <v>197</v>
      </c>
      <c r="B150" s="18">
        <v>180</v>
      </c>
      <c r="C150" s="912"/>
      <c r="D150" s="291"/>
    </row>
    <row r="151" spans="1:4" ht="13.2">
      <c r="A151" s="17" t="s">
        <v>198</v>
      </c>
      <c r="B151" s="18">
        <v>180</v>
      </c>
      <c r="C151" s="912"/>
      <c r="D151" s="291"/>
    </row>
    <row r="152" spans="1:4" ht="13.2">
      <c r="A152" s="17" t="s">
        <v>199</v>
      </c>
      <c r="B152" s="18">
        <v>180</v>
      </c>
      <c r="C152" s="912"/>
      <c r="D152" s="291"/>
    </row>
    <row r="153" spans="1:4" ht="13.2">
      <c r="A153" s="17" t="s">
        <v>200</v>
      </c>
      <c r="B153" s="18">
        <v>180</v>
      </c>
      <c r="C153" s="912"/>
      <c r="D153" s="291"/>
    </row>
    <row r="154" spans="1:4" ht="13.2">
      <c r="A154" s="17" t="s">
        <v>201</v>
      </c>
      <c r="B154" s="18">
        <v>180</v>
      </c>
      <c r="C154" s="912"/>
      <c r="D154" s="291"/>
    </row>
    <row r="155" spans="1:4" ht="13.2">
      <c r="A155" s="17" t="s">
        <v>202</v>
      </c>
      <c r="B155" s="18">
        <v>180</v>
      </c>
      <c r="C155" s="912"/>
      <c r="D155" s="291"/>
    </row>
    <row r="156" spans="1:4" ht="13.2">
      <c r="A156" s="17" t="s">
        <v>203</v>
      </c>
      <c r="B156" s="18">
        <v>180</v>
      </c>
      <c r="C156" s="912"/>
      <c r="D156" s="291"/>
    </row>
    <row r="157" spans="1:4" ht="13.2">
      <c r="A157" s="17" t="s">
        <v>204</v>
      </c>
      <c r="B157" s="18">
        <v>180</v>
      </c>
      <c r="C157" s="912"/>
      <c r="D157" s="291"/>
    </row>
    <row r="158" spans="1:4" ht="13.2">
      <c r="A158" s="17" t="s">
        <v>205</v>
      </c>
      <c r="B158" s="18">
        <v>180</v>
      </c>
      <c r="C158" s="912"/>
      <c r="D158" s="291"/>
    </row>
    <row r="159" spans="1:4" ht="13.2">
      <c r="A159" s="17" t="s">
        <v>206</v>
      </c>
      <c r="B159" s="18">
        <v>180</v>
      </c>
      <c r="C159" s="912"/>
      <c r="D159" s="291"/>
    </row>
    <row r="160" spans="1:4" ht="13.2">
      <c r="A160" s="17" t="s">
        <v>207</v>
      </c>
      <c r="B160" s="18">
        <v>180</v>
      </c>
      <c r="C160" s="912"/>
      <c r="D160" s="291"/>
    </row>
    <row r="161" spans="1:4" ht="13.2">
      <c r="A161" s="17" t="s">
        <v>208</v>
      </c>
      <c r="B161" s="18">
        <v>180</v>
      </c>
      <c r="C161" s="912"/>
      <c r="D161" s="291"/>
    </row>
    <row r="162" spans="1:4" ht="13.2">
      <c r="A162" s="17" t="s">
        <v>1184</v>
      </c>
      <c r="B162" s="18">
        <v>180</v>
      </c>
      <c r="C162" s="912"/>
      <c r="D162" s="291"/>
    </row>
    <row r="163" spans="1:4" ht="13.2">
      <c r="A163" s="17" t="s">
        <v>209</v>
      </c>
      <c r="B163" s="18">
        <v>180</v>
      </c>
      <c r="C163" s="912"/>
      <c r="D163" s="291"/>
    </row>
    <row r="164" spans="1:4" ht="13.2">
      <c r="A164" s="17" t="s">
        <v>1183</v>
      </c>
      <c r="B164" s="18">
        <v>180</v>
      </c>
      <c r="C164" s="912"/>
      <c r="D164" s="291"/>
    </row>
    <row r="165" spans="1:4" ht="13.2">
      <c r="A165" s="17" t="s">
        <v>210</v>
      </c>
      <c r="B165" s="18">
        <v>180</v>
      </c>
      <c r="C165" s="912"/>
      <c r="D165" s="291"/>
    </row>
    <row r="166" spans="1:4" ht="13.2">
      <c r="A166" s="17" t="s">
        <v>1209</v>
      </c>
      <c r="B166" s="18">
        <v>180</v>
      </c>
      <c r="C166" s="912"/>
      <c r="D166" s="291"/>
    </row>
    <row r="167" spans="1:4" ht="13.2">
      <c r="A167" s="17" t="s">
        <v>211</v>
      </c>
      <c r="B167" s="18">
        <v>180</v>
      </c>
      <c r="C167" s="912"/>
      <c r="D167" s="291"/>
    </row>
    <row r="168" spans="1:4" ht="13.2">
      <c r="A168" s="17" t="s">
        <v>212</v>
      </c>
      <c r="B168" s="18">
        <v>180</v>
      </c>
      <c r="C168" s="912"/>
      <c r="D168" s="291"/>
    </row>
    <row r="169" spans="1:4" ht="13.2">
      <c r="A169" s="17" t="s">
        <v>213</v>
      </c>
      <c r="B169" s="18">
        <v>180</v>
      </c>
      <c r="C169" s="912"/>
      <c r="D169" s="291"/>
    </row>
    <row r="170" spans="1:4" ht="13.2">
      <c r="A170" s="17" t="s">
        <v>214</v>
      </c>
      <c r="B170" s="18">
        <v>180</v>
      </c>
      <c r="C170" s="912"/>
      <c r="D170" s="291"/>
    </row>
    <row r="171" spans="1:4" ht="13.2">
      <c r="A171" s="17" t="s">
        <v>215</v>
      </c>
      <c r="B171" s="18">
        <v>180</v>
      </c>
      <c r="C171" s="912"/>
      <c r="D171" s="291"/>
    </row>
    <row r="172" spans="1:4" ht="13.2">
      <c r="A172" s="17" t="s">
        <v>216</v>
      </c>
      <c r="B172" s="18">
        <v>180</v>
      </c>
      <c r="C172" s="912"/>
      <c r="D172" s="291"/>
    </row>
    <row r="173" spans="1:4" ht="13.2">
      <c r="A173" s="17" t="s">
        <v>217</v>
      </c>
      <c r="B173" s="18">
        <v>180</v>
      </c>
      <c r="C173" s="912"/>
      <c r="D173" s="291"/>
    </row>
    <row r="174" spans="1:4" ht="13.2">
      <c r="A174" s="17" t="s">
        <v>218</v>
      </c>
      <c r="B174" s="18">
        <v>180</v>
      </c>
      <c r="C174" s="912"/>
      <c r="D174" s="291"/>
    </row>
    <row r="175" spans="1:4" ht="13.2">
      <c r="A175" s="17" t="s">
        <v>219</v>
      </c>
      <c r="B175" s="18">
        <v>180</v>
      </c>
      <c r="C175" s="912"/>
      <c r="D175" s="291"/>
    </row>
    <row r="176" spans="1:4" ht="13.2">
      <c r="A176" s="17" t="s">
        <v>220</v>
      </c>
      <c r="B176" s="18">
        <v>180</v>
      </c>
      <c r="C176" s="912"/>
      <c r="D176" s="291"/>
    </row>
    <row r="177" spans="1:4" ht="13.2">
      <c r="A177" s="17" t="s">
        <v>221</v>
      </c>
      <c r="B177" s="18">
        <v>210</v>
      </c>
      <c r="C177" s="912"/>
      <c r="D177" s="291"/>
    </row>
    <row r="178" spans="1:4" ht="13.2">
      <c r="A178" s="17" t="s">
        <v>222</v>
      </c>
      <c r="B178" s="18">
        <v>210</v>
      </c>
      <c r="C178" s="912"/>
      <c r="D178" s="291"/>
    </row>
    <row r="179" spans="1:4" ht="13.2">
      <c r="A179" s="17" t="s">
        <v>223</v>
      </c>
      <c r="B179" s="18">
        <v>210</v>
      </c>
      <c r="C179" s="912"/>
      <c r="D179" s="291"/>
    </row>
    <row r="180" spans="1:4" ht="13.2">
      <c r="A180" s="17" t="s">
        <v>224</v>
      </c>
      <c r="B180" s="18">
        <v>210</v>
      </c>
      <c r="C180" s="912"/>
      <c r="D180" s="291"/>
    </row>
    <row r="181" spans="1:4" ht="13.2">
      <c r="A181" s="17" t="s">
        <v>1210</v>
      </c>
      <c r="B181" s="18">
        <v>210</v>
      </c>
      <c r="C181" s="912"/>
      <c r="D181" s="291"/>
    </row>
    <row r="182" spans="1:4" ht="13.2">
      <c r="A182" s="17" t="s">
        <v>225</v>
      </c>
      <c r="B182" s="18">
        <v>210</v>
      </c>
      <c r="C182" s="912"/>
      <c r="D182" s="291"/>
    </row>
    <row r="183" spans="1:4" ht="13.2">
      <c r="A183" s="17" t="s">
        <v>1211</v>
      </c>
      <c r="B183" s="18">
        <v>210</v>
      </c>
      <c r="C183" s="912"/>
      <c r="D183" s="291"/>
    </row>
    <row r="184" spans="1:4" ht="13.2">
      <c r="A184" s="17" t="s">
        <v>226</v>
      </c>
      <c r="B184" s="18">
        <v>210</v>
      </c>
      <c r="C184" s="912"/>
      <c r="D184" s="291"/>
    </row>
    <row r="185" spans="1:4" ht="13.2">
      <c r="A185" s="17" t="s">
        <v>1212</v>
      </c>
      <c r="B185" s="18">
        <v>210</v>
      </c>
      <c r="C185" s="912"/>
      <c r="D185" s="291"/>
    </row>
    <row r="186" spans="1:4" ht="13.2">
      <c r="A186" s="17" t="s">
        <v>227</v>
      </c>
      <c r="B186" s="18">
        <v>210</v>
      </c>
      <c r="C186" s="912"/>
      <c r="D186" s="291"/>
    </row>
    <row r="187" spans="1:4" ht="13.2">
      <c r="A187" s="17" t="s">
        <v>228</v>
      </c>
      <c r="B187" s="18">
        <v>210</v>
      </c>
      <c r="C187" s="912"/>
      <c r="D187" s="291"/>
    </row>
    <row r="188" spans="1:4" ht="13.2">
      <c r="A188" s="17" t="s">
        <v>229</v>
      </c>
      <c r="B188" s="18">
        <v>210</v>
      </c>
      <c r="C188" s="912"/>
      <c r="D188" s="291"/>
    </row>
    <row r="189" spans="1:4" ht="13.2">
      <c r="A189" s="17" t="s">
        <v>230</v>
      </c>
      <c r="B189" s="18">
        <v>210</v>
      </c>
      <c r="C189" s="912"/>
      <c r="D189" s="291"/>
    </row>
    <row r="190" spans="1:4" ht="13.2">
      <c r="A190" s="17" t="s">
        <v>231</v>
      </c>
      <c r="B190" s="18">
        <v>210</v>
      </c>
      <c r="C190" s="912"/>
      <c r="D190" s="291"/>
    </row>
    <row r="191" spans="1:4" ht="13.2">
      <c r="A191" s="17" t="s">
        <v>232</v>
      </c>
      <c r="B191" s="18">
        <v>210</v>
      </c>
      <c r="C191" s="912"/>
      <c r="D191" s="291"/>
    </row>
    <row r="192" spans="1:4" ht="13.2">
      <c r="A192" s="17" t="s">
        <v>233</v>
      </c>
      <c r="B192" s="18">
        <v>210</v>
      </c>
      <c r="C192" s="912"/>
      <c r="D192" s="291"/>
    </row>
    <row r="193" spans="1:4" ht="13.2">
      <c r="A193" s="17" t="s">
        <v>234</v>
      </c>
      <c r="B193" s="18">
        <v>210</v>
      </c>
      <c r="C193" s="912"/>
      <c r="D193" s="291"/>
    </row>
    <row r="194" spans="1:4" ht="13.2">
      <c r="A194" s="17" t="s">
        <v>235</v>
      </c>
      <c r="B194" s="18">
        <v>210</v>
      </c>
      <c r="C194" s="912"/>
      <c r="D194" s="291"/>
    </row>
    <row r="195" spans="1:4" ht="13.2">
      <c r="A195" s="17" t="s">
        <v>236</v>
      </c>
      <c r="B195" s="18">
        <v>210</v>
      </c>
      <c r="C195" s="912"/>
      <c r="D195" s="291"/>
    </row>
    <row r="196" spans="1:4" ht="13.2">
      <c r="A196" s="17" t="s">
        <v>237</v>
      </c>
      <c r="B196" s="18">
        <v>210</v>
      </c>
      <c r="C196" s="912"/>
      <c r="D196" s="291"/>
    </row>
    <row r="197" spans="1:4" ht="13.2">
      <c r="A197" s="17" t="s">
        <v>238</v>
      </c>
      <c r="B197" s="18">
        <v>210</v>
      </c>
      <c r="C197" s="912"/>
      <c r="D197" s="291"/>
    </row>
    <row r="198" spans="1:4" ht="13.2">
      <c r="A198" s="17" t="s">
        <v>239</v>
      </c>
      <c r="B198" s="18">
        <v>210</v>
      </c>
      <c r="C198" s="912"/>
      <c r="D198" s="291"/>
    </row>
    <row r="199" spans="1:4" ht="13.2">
      <c r="A199" s="17" t="s">
        <v>240</v>
      </c>
      <c r="B199" s="18">
        <v>210</v>
      </c>
      <c r="C199" s="912"/>
      <c r="D199" s="291"/>
    </row>
    <row r="200" spans="1:4" ht="13.2">
      <c r="A200" s="17" t="s">
        <v>1213</v>
      </c>
      <c r="B200" s="18">
        <v>210</v>
      </c>
      <c r="C200" s="912"/>
      <c r="D200" s="291"/>
    </row>
    <row r="201" spans="1:4" ht="13.2">
      <c r="A201" s="17" t="s">
        <v>241</v>
      </c>
      <c r="B201" s="18">
        <v>210</v>
      </c>
      <c r="C201" s="912"/>
      <c r="D201" s="291"/>
    </row>
    <row r="202" spans="1:4" ht="13.2">
      <c r="A202" s="17" t="s">
        <v>1214</v>
      </c>
      <c r="B202" s="18">
        <v>210</v>
      </c>
      <c r="C202" s="912"/>
      <c r="D202" s="291"/>
    </row>
    <row r="203" spans="1:4" ht="13.2">
      <c r="A203" s="17" t="s">
        <v>242</v>
      </c>
      <c r="B203" s="18">
        <v>210</v>
      </c>
      <c r="C203" s="912"/>
      <c r="D203" s="291"/>
    </row>
    <row r="204" spans="1:4" ht="13.2">
      <c r="A204" s="17" t="s">
        <v>1215</v>
      </c>
      <c r="B204" s="18">
        <v>210</v>
      </c>
      <c r="C204" s="912"/>
      <c r="D204" s="291"/>
    </row>
    <row r="205" spans="1:4" ht="13.2">
      <c r="A205" s="17" t="s">
        <v>243</v>
      </c>
      <c r="B205" s="18">
        <v>210</v>
      </c>
      <c r="C205" s="912"/>
      <c r="D205" s="291"/>
    </row>
    <row r="206" spans="1:4" ht="13.2">
      <c r="A206" s="17" t="s">
        <v>244</v>
      </c>
      <c r="B206" s="18">
        <v>210</v>
      </c>
      <c r="C206" s="912"/>
      <c r="D206" s="291"/>
    </row>
    <row r="207" spans="1:4" ht="13.2">
      <c r="A207" s="17" t="s">
        <v>245</v>
      </c>
      <c r="B207" s="18">
        <v>210</v>
      </c>
      <c r="C207" s="912"/>
      <c r="D207" s="291"/>
    </row>
    <row r="208" spans="1:4" ht="13.2">
      <c r="A208" s="17" t="s">
        <v>246</v>
      </c>
      <c r="B208" s="18">
        <v>210</v>
      </c>
      <c r="C208" s="912"/>
      <c r="D208" s="291"/>
    </row>
    <row r="209" spans="1:4" ht="13.2">
      <c r="A209" s="17" t="s">
        <v>247</v>
      </c>
      <c r="B209" s="18">
        <v>210</v>
      </c>
      <c r="C209" s="912"/>
      <c r="D209" s="291"/>
    </row>
    <row r="210" spans="1:4" ht="13.2">
      <c r="A210" s="17" t="s">
        <v>248</v>
      </c>
      <c r="B210" s="18">
        <v>210</v>
      </c>
      <c r="C210" s="912"/>
      <c r="D210" s="291"/>
    </row>
    <row r="211" spans="1:4" ht="13.2">
      <c r="A211" s="17" t="s">
        <v>249</v>
      </c>
      <c r="B211" s="18">
        <v>210</v>
      </c>
      <c r="C211" s="912"/>
      <c r="D211" s="291"/>
    </row>
    <row r="212" spans="1:4" ht="13.2">
      <c r="A212" s="17" t="s">
        <v>250</v>
      </c>
      <c r="B212" s="18">
        <v>210</v>
      </c>
      <c r="C212" s="912"/>
      <c r="D212" s="291"/>
    </row>
    <row r="213" spans="1:4" ht="13.2">
      <c r="A213" s="17" t="s">
        <v>251</v>
      </c>
      <c r="B213" s="18">
        <v>210</v>
      </c>
      <c r="C213" s="912"/>
      <c r="D213" s="291"/>
    </row>
    <row r="214" spans="1:4" ht="13.2">
      <c r="A214" s="17" t="s">
        <v>252</v>
      </c>
      <c r="B214" s="18">
        <v>210</v>
      </c>
      <c r="C214" s="912"/>
      <c r="D214" s="291"/>
    </row>
    <row r="215" spans="1:4" ht="13.2">
      <c r="A215" s="17" t="s">
        <v>253</v>
      </c>
      <c r="B215" s="18">
        <v>210</v>
      </c>
      <c r="C215" s="912"/>
      <c r="D215" s="291"/>
    </row>
    <row r="216" spans="1:4" ht="13.2">
      <c r="A216" s="17" t="s">
        <v>254</v>
      </c>
      <c r="B216" s="18">
        <v>210</v>
      </c>
      <c r="C216" s="912"/>
      <c r="D216" s="291"/>
    </row>
    <row r="217" spans="1:4" ht="13.2">
      <c r="A217" s="17" t="s">
        <v>255</v>
      </c>
      <c r="B217" s="18">
        <v>210</v>
      </c>
      <c r="C217" s="912"/>
      <c r="D217" s="291"/>
    </row>
    <row r="218" spans="1:4" ht="13.2">
      <c r="A218" s="17" t="s">
        <v>256</v>
      </c>
      <c r="B218" s="18">
        <v>210</v>
      </c>
      <c r="C218" s="912"/>
      <c r="D218" s="291"/>
    </row>
    <row r="219" spans="1:4" ht="13.2">
      <c r="A219" s="17" t="s">
        <v>1216</v>
      </c>
      <c r="B219" s="18">
        <v>210</v>
      </c>
      <c r="C219" s="912"/>
      <c r="D219" s="291"/>
    </row>
    <row r="220" spans="1:4" ht="13.2">
      <c r="A220" s="17" t="s">
        <v>257</v>
      </c>
      <c r="B220" s="18">
        <v>210</v>
      </c>
      <c r="C220" s="912"/>
      <c r="D220" s="291"/>
    </row>
    <row r="221" spans="1:4" ht="13.2">
      <c r="A221" s="17" t="s">
        <v>1217</v>
      </c>
      <c r="B221" s="18">
        <v>210</v>
      </c>
      <c r="C221" s="912"/>
      <c r="D221" s="291"/>
    </row>
    <row r="222" spans="1:4" ht="13.2">
      <c r="A222" s="17" t="s">
        <v>258</v>
      </c>
      <c r="B222" s="18">
        <v>210</v>
      </c>
      <c r="C222" s="912"/>
      <c r="D222" s="291"/>
    </row>
    <row r="223" spans="1:4" ht="13.2">
      <c r="A223" s="17" t="s">
        <v>1218</v>
      </c>
      <c r="B223" s="18">
        <v>210</v>
      </c>
      <c r="C223" s="912"/>
      <c r="D223" s="291"/>
    </row>
    <row r="224" spans="1:4" ht="13.2">
      <c r="A224" s="17" t="s">
        <v>259</v>
      </c>
      <c r="B224" s="18">
        <v>210</v>
      </c>
      <c r="C224" s="912"/>
      <c r="D224" s="291"/>
    </row>
    <row r="225" spans="1:4" ht="13.2">
      <c r="A225" s="17" t="s">
        <v>1219</v>
      </c>
      <c r="B225" s="18">
        <v>210</v>
      </c>
      <c r="C225" s="912"/>
      <c r="D225" s="291"/>
    </row>
    <row r="226" spans="1:4" ht="13.2">
      <c r="A226" s="17" t="s">
        <v>260</v>
      </c>
      <c r="B226" s="18">
        <v>210</v>
      </c>
      <c r="C226" s="912"/>
      <c r="D226" s="291"/>
    </row>
    <row r="227" spans="1:4" ht="13.2">
      <c r="A227" s="17" t="s">
        <v>261</v>
      </c>
      <c r="B227" s="18">
        <v>210</v>
      </c>
      <c r="C227" s="912"/>
      <c r="D227" s="291"/>
    </row>
    <row r="228" spans="1:4" ht="13.2">
      <c r="A228" s="17" t="s">
        <v>262</v>
      </c>
      <c r="B228" s="18">
        <v>210</v>
      </c>
      <c r="C228" s="912"/>
      <c r="D228" s="291"/>
    </row>
    <row r="229" spans="1:4" ht="13.2">
      <c r="A229" s="17" t="s">
        <v>263</v>
      </c>
      <c r="B229" s="18">
        <v>210</v>
      </c>
      <c r="C229" s="912"/>
      <c r="D229" s="291"/>
    </row>
    <row r="230" spans="1:4" ht="13.2">
      <c r="A230" s="17" t="s">
        <v>264</v>
      </c>
      <c r="B230" s="18">
        <v>210</v>
      </c>
      <c r="C230" s="912"/>
      <c r="D230" s="291"/>
    </row>
    <row r="231" spans="1:4" ht="13.2">
      <c r="A231" s="17" t="s">
        <v>265</v>
      </c>
      <c r="B231" s="18">
        <v>210</v>
      </c>
      <c r="C231" s="912"/>
      <c r="D231" s="291"/>
    </row>
    <row r="232" spans="1:4" ht="13.2">
      <c r="A232" s="17" t="s">
        <v>266</v>
      </c>
      <c r="B232" s="18">
        <v>210</v>
      </c>
      <c r="C232" s="912"/>
      <c r="D232" s="291"/>
    </row>
    <row r="233" spans="1:4" ht="13.2">
      <c r="A233" s="17" t="s">
        <v>267</v>
      </c>
      <c r="B233" s="18">
        <v>210</v>
      </c>
      <c r="C233" s="912"/>
      <c r="D233" s="291"/>
    </row>
    <row r="234" spans="1:4" ht="13.2">
      <c r="A234" s="17" t="s">
        <v>268</v>
      </c>
      <c r="B234" s="18">
        <v>210</v>
      </c>
      <c r="C234" s="912"/>
      <c r="D234" s="291"/>
    </row>
    <row r="235" spans="1:4" ht="13.2">
      <c r="A235" s="17" t="s">
        <v>269</v>
      </c>
      <c r="B235" s="18">
        <v>170</v>
      </c>
      <c r="C235" s="912"/>
      <c r="D235" s="291"/>
    </row>
    <row r="236" spans="1:4" ht="13.2">
      <c r="A236" s="17" t="s">
        <v>270</v>
      </c>
      <c r="B236" s="18">
        <v>170</v>
      </c>
      <c r="C236" s="912"/>
      <c r="D236" s="291"/>
    </row>
    <row r="237" spans="1:4" ht="13.2">
      <c r="A237" s="17" t="s">
        <v>271</v>
      </c>
      <c r="B237" s="18">
        <v>170</v>
      </c>
      <c r="C237" s="912"/>
      <c r="D237" s="291"/>
    </row>
    <row r="238" spans="1:4" ht="13.2">
      <c r="A238" s="17" t="s">
        <v>272</v>
      </c>
      <c r="B238" s="18">
        <v>170</v>
      </c>
      <c r="C238" s="912"/>
      <c r="D238" s="291"/>
    </row>
    <row r="239" spans="1:4" ht="13.2">
      <c r="A239" s="17" t="s">
        <v>1220</v>
      </c>
      <c r="B239" s="18">
        <v>170</v>
      </c>
      <c r="C239" s="912"/>
      <c r="D239" s="291"/>
    </row>
    <row r="240" spans="1:4" ht="13.2">
      <c r="A240" s="17" t="s">
        <v>273</v>
      </c>
      <c r="B240" s="18">
        <v>170</v>
      </c>
      <c r="C240" s="912"/>
      <c r="D240" s="291"/>
    </row>
    <row r="241" spans="1:4" ht="13.2">
      <c r="A241" s="17" t="s">
        <v>1221</v>
      </c>
      <c r="B241" s="18">
        <v>170</v>
      </c>
      <c r="C241" s="912"/>
      <c r="D241" s="291"/>
    </row>
    <row r="242" spans="1:4" ht="13.2">
      <c r="A242" s="17" t="s">
        <v>274</v>
      </c>
      <c r="B242" s="18">
        <v>170</v>
      </c>
      <c r="C242" s="912"/>
      <c r="D242" s="291"/>
    </row>
    <row r="243" spans="1:4" ht="13.2">
      <c r="A243" s="17" t="s">
        <v>1222</v>
      </c>
      <c r="B243" s="18">
        <v>170</v>
      </c>
      <c r="C243" s="912"/>
      <c r="D243" s="291"/>
    </row>
    <row r="244" spans="1:4" ht="13.2">
      <c r="A244" s="17" t="s">
        <v>275</v>
      </c>
      <c r="B244" s="18">
        <v>170</v>
      </c>
      <c r="C244" s="912"/>
      <c r="D244" s="291"/>
    </row>
    <row r="245" spans="1:4" ht="13.2">
      <c r="A245" s="17" t="s">
        <v>276</v>
      </c>
      <c r="B245" s="18">
        <v>170</v>
      </c>
      <c r="C245" s="912"/>
      <c r="D245" s="291"/>
    </row>
    <row r="246" spans="1:4" ht="13.2">
      <c r="A246" s="17" t="s">
        <v>277</v>
      </c>
      <c r="B246" s="18">
        <v>170</v>
      </c>
      <c r="C246" s="912"/>
      <c r="D246" s="291"/>
    </row>
    <row r="247" spans="1:4" ht="13.2">
      <c r="A247" s="17" t="s">
        <v>278</v>
      </c>
      <c r="B247" s="18">
        <v>170</v>
      </c>
      <c r="C247" s="912"/>
      <c r="D247" s="291"/>
    </row>
    <row r="248" spans="1:4" ht="13.2">
      <c r="A248" s="17" t="s">
        <v>279</v>
      </c>
      <c r="B248" s="18">
        <v>170</v>
      </c>
      <c r="C248" s="912"/>
      <c r="D248" s="291"/>
    </row>
    <row r="249" spans="1:4" ht="13.2">
      <c r="A249" s="17" t="s">
        <v>280</v>
      </c>
      <c r="B249" s="18">
        <v>170</v>
      </c>
      <c r="C249" s="912"/>
      <c r="D249" s="291"/>
    </row>
    <row r="250" spans="1:4" ht="13.2">
      <c r="A250" s="17" t="s">
        <v>281</v>
      </c>
      <c r="B250" s="18">
        <v>170</v>
      </c>
      <c r="C250" s="912"/>
      <c r="D250" s="291"/>
    </row>
    <row r="251" spans="1:4" ht="13.2">
      <c r="A251" s="17" t="s">
        <v>282</v>
      </c>
      <c r="B251" s="18">
        <v>170</v>
      </c>
      <c r="C251" s="912"/>
      <c r="D251" s="291"/>
    </row>
    <row r="252" spans="1:4" ht="13.2">
      <c r="A252" s="17" t="s">
        <v>283</v>
      </c>
      <c r="B252" s="18">
        <v>170</v>
      </c>
      <c r="C252" s="912"/>
      <c r="D252" s="291"/>
    </row>
    <row r="253" spans="1:4" ht="13.2">
      <c r="A253" s="17" t="s">
        <v>284</v>
      </c>
      <c r="B253" s="18">
        <v>170</v>
      </c>
      <c r="C253" s="912"/>
      <c r="D253" s="291"/>
    </row>
    <row r="254" spans="1:4" ht="13.2">
      <c r="A254" s="17" t="s">
        <v>285</v>
      </c>
      <c r="B254" s="18">
        <v>170</v>
      </c>
      <c r="C254" s="912"/>
      <c r="D254" s="291"/>
    </row>
    <row r="255" spans="1:4" ht="13.2">
      <c r="A255" s="17" t="s">
        <v>286</v>
      </c>
      <c r="B255" s="18">
        <v>170</v>
      </c>
      <c r="C255" s="912"/>
      <c r="D255" s="291"/>
    </row>
    <row r="256" spans="1:4" ht="13.2">
      <c r="A256" s="17" t="s">
        <v>287</v>
      </c>
      <c r="B256" s="18">
        <v>170</v>
      </c>
      <c r="C256" s="912"/>
      <c r="D256" s="291"/>
    </row>
    <row r="257" spans="1:4" ht="13.2">
      <c r="A257" s="17" t="s">
        <v>288</v>
      </c>
      <c r="B257" s="18">
        <v>170</v>
      </c>
      <c r="C257" s="912"/>
      <c r="D257" s="291"/>
    </row>
    <row r="258" spans="1:4" ht="13.2">
      <c r="A258" s="17" t="s">
        <v>1223</v>
      </c>
      <c r="B258" s="18">
        <v>170</v>
      </c>
      <c r="C258" s="912"/>
      <c r="D258" s="291"/>
    </row>
    <row r="259" spans="1:4" ht="13.2">
      <c r="A259" s="17" t="s">
        <v>289</v>
      </c>
      <c r="B259" s="18">
        <v>170</v>
      </c>
      <c r="C259" s="912"/>
      <c r="D259" s="291"/>
    </row>
    <row r="260" spans="1:4" ht="13.2">
      <c r="A260" s="17" t="s">
        <v>1224</v>
      </c>
      <c r="B260" s="18">
        <v>170</v>
      </c>
      <c r="C260" s="912"/>
      <c r="D260" s="291"/>
    </row>
    <row r="261" spans="1:4" ht="13.2">
      <c r="A261" s="17" t="s">
        <v>290</v>
      </c>
      <c r="B261" s="18">
        <v>170</v>
      </c>
      <c r="C261" s="912"/>
      <c r="D261" s="291"/>
    </row>
    <row r="262" spans="1:4" ht="13.2">
      <c r="A262" s="17" t="s">
        <v>1225</v>
      </c>
      <c r="B262" s="18">
        <v>170</v>
      </c>
      <c r="C262" s="912"/>
      <c r="D262" s="291"/>
    </row>
    <row r="263" spans="1:4" ht="13.2">
      <c r="A263" s="17" t="s">
        <v>291</v>
      </c>
      <c r="B263" s="18">
        <v>170</v>
      </c>
      <c r="C263" s="912"/>
      <c r="D263" s="291"/>
    </row>
    <row r="264" spans="1:4" ht="13.2">
      <c r="A264" s="17" t="s">
        <v>292</v>
      </c>
      <c r="B264" s="18">
        <v>170</v>
      </c>
      <c r="C264" s="912"/>
      <c r="D264" s="291"/>
    </row>
    <row r="265" spans="1:4" ht="13.2">
      <c r="A265" s="17" t="s">
        <v>293</v>
      </c>
      <c r="B265" s="18">
        <v>170</v>
      </c>
      <c r="C265" s="912"/>
      <c r="D265" s="291"/>
    </row>
    <row r="266" spans="1:4" ht="13.2">
      <c r="A266" s="17" t="s">
        <v>294</v>
      </c>
      <c r="B266" s="18">
        <v>170</v>
      </c>
      <c r="C266" s="912"/>
      <c r="D266" s="291"/>
    </row>
    <row r="267" spans="1:4" ht="13.2">
      <c r="A267" s="17" t="s">
        <v>295</v>
      </c>
      <c r="B267" s="18">
        <v>170</v>
      </c>
      <c r="C267" s="912"/>
      <c r="D267" s="291"/>
    </row>
    <row r="268" spans="1:4" ht="13.2">
      <c r="A268" s="17" t="s">
        <v>296</v>
      </c>
      <c r="B268" s="18">
        <v>170</v>
      </c>
      <c r="C268" s="912"/>
      <c r="D268" s="291"/>
    </row>
    <row r="269" spans="1:4" ht="13.2">
      <c r="A269" s="17" t="s">
        <v>297</v>
      </c>
      <c r="B269" s="18">
        <v>170</v>
      </c>
      <c r="C269" s="912"/>
      <c r="D269" s="291"/>
    </row>
    <row r="270" spans="1:4" ht="13.2">
      <c r="A270" s="17" t="s">
        <v>298</v>
      </c>
      <c r="B270" s="18">
        <v>170</v>
      </c>
      <c r="C270" s="912"/>
      <c r="D270" s="291"/>
    </row>
    <row r="271" spans="1:4" ht="13.2">
      <c r="A271" s="17" t="s">
        <v>299</v>
      </c>
      <c r="B271" s="18">
        <v>170</v>
      </c>
      <c r="C271" s="912"/>
      <c r="D271" s="291"/>
    </row>
    <row r="272" spans="1:4" ht="13.2">
      <c r="A272" s="17" t="s">
        <v>300</v>
      </c>
      <c r="B272" s="18">
        <v>170</v>
      </c>
      <c r="C272" s="912"/>
      <c r="D272" s="291"/>
    </row>
    <row r="273" spans="1:4" ht="13.2">
      <c r="A273" s="17" t="s">
        <v>301</v>
      </c>
      <c r="B273" s="18">
        <v>170</v>
      </c>
      <c r="C273" s="912"/>
      <c r="D273" s="291"/>
    </row>
    <row r="274" spans="1:4" ht="13.2">
      <c r="A274" s="17" t="s">
        <v>302</v>
      </c>
      <c r="B274" s="18">
        <v>170</v>
      </c>
      <c r="C274" s="912"/>
      <c r="D274" s="291"/>
    </row>
    <row r="275" spans="1:4" ht="13.2">
      <c r="A275" s="17" t="s">
        <v>303</v>
      </c>
      <c r="B275" s="18">
        <v>170</v>
      </c>
      <c r="C275" s="912"/>
      <c r="D275" s="291"/>
    </row>
    <row r="276" spans="1:4" ht="13.2">
      <c r="A276" s="17" t="s">
        <v>304</v>
      </c>
      <c r="B276" s="18">
        <v>170</v>
      </c>
      <c r="C276" s="912"/>
      <c r="D276" s="291"/>
    </row>
    <row r="277" spans="1:4" ht="13.2">
      <c r="A277" s="17" t="s">
        <v>1226</v>
      </c>
      <c r="B277" s="18">
        <v>170</v>
      </c>
      <c r="C277" s="912"/>
      <c r="D277" s="291"/>
    </row>
    <row r="278" spans="1:4" ht="13.2">
      <c r="A278" s="17" t="s">
        <v>305</v>
      </c>
      <c r="B278" s="18">
        <v>170</v>
      </c>
      <c r="C278" s="912"/>
      <c r="D278" s="291"/>
    </row>
    <row r="279" spans="1:4" ht="13.2">
      <c r="A279" s="17" t="s">
        <v>1227</v>
      </c>
      <c r="B279" s="18">
        <v>170</v>
      </c>
      <c r="C279" s="912"/>
      <c r="D279" s="291"/>
    </row>
    <row r="280" spans="1:4" ht="13.2">
      <c r="A280" s="17" t="s">
        <v>306</v>
      </c>
      <c r="B280" s="18">
        <v>170</v>
      </c>
      <c r="C280" s="912"/>
      <c r="D280" s="291"/>
    </row>
    <row r="281" spans="1:4" ht="13.2">
      <c r="A281" s="17" t="s">
        <v>1228</v>
      </c>
      <c r="B281" s="18">
        <v>170</v>
      </c>
      <c r="C281" s="912"/>
      <c r="D281" s="291"/>
    </row>
    <row r="282" spans="1:4" ht="13.2">
      <c r="A282" s="17" t="s">
        <v>307</v>
      </c>
      <c r="B282" s="18">
        <v>170</v>
      </c>
      <c r="C282" s="912"/>
      <c r="D282" s="291"/>
    </row>
    <row r="283" spans="1:4" ht="13.2">
      <c r="A283" s="17" t="s">
        <v>308</v>
      </c>
      <c r="B283" s="18">
        <v>170</v>
      </c>
      <c r="C283" s="912"/>
      <c r="D283" s="291"/>
    </row>
    <row r="284" spans="1:4" ht="13.2">
      <c r="A284" s="17" t="s">
        <v>309</v>
      </c>
      <c r="B284" s="18">
        <v>170</v>
      </c>
      <c r="C284" s="912"/>
      <c r="D284" s="291"/>
    </row>
    <row r="285" spans="1:4" ht="13.2">
      <c r="A285" s="17" t="s">
        <v>310</v>
      </c>
      <c r="B285" s="18">
        <v>170</v>
      </c>
      <c r="C285" s="912"/>
      <c r="D285" s="291"/>
    </row>
    <row r="286" spans="1:4" ht="13.2">
      <c r="A286" s="17" t="s">
        <v>311</v>
      </c>
      <c r="B286" s="18">
        <v>170</v>
      </c>
      <c r="C286" s="912"/>
      <c r="D286" s="291"/>
    </row>
    <row r="287" spans="1:4" ht="13.2">
      <c r="A287" s="17" t="s">
        <v>312</v>
      </c>
      <c r="B287" s="18">
        <v>170</v>
      </c>
      <c r="C287" s="912"/>
      <c r="D287" s="291"/>
    </row>
    <row r="288" spans="1:4" ht="13.2">
      <c r="A288" s="17" t="s">
        <v>313</v>
      </c>
      <c r="B288" s="18">
        <v>170</v>
      </c>
      <c r="C288" s="912"/>
      <c r="D288" s="291"/>
    </row>
    <row r="289" spans="1:4" ht="13.2">
      <c r="A289" s="17" t="s">
        <v>314</v>
      </c>
      <c r="B289" s="18">
        <v>170</v>
      </c>
      <c r="C289" s="912"/>
      <c r="D289" s="291"/>
    </row>
    <row r="290" spans="1:4" ht="13.2">
      <c r="A290" s="17" t="s">
        <v>315</v>
      </c>
      <c r="B290" s="18">
        <v>170</v>
      </c>
      <c r="C290" s="912"/>
      <c r="D290" s="291"/>
    </row>
    <row r="291" spans="1:4" ht="13.2">
      <c r="A291" s="17" t="s">
        <v>316</v>
      </c>
      <c r="B291" s="18">
        <v>170</v>
      </c>
      <c r="C291" s="912"/>
      <c r="D291" s="291"/>
    </row>
    <row r="292" spans="1:4" ht="13.2">
      <c r="A292" s="17" t="s">
        <v>317</v>
      </c>
      <c r="B292" s="18">
        <v>170</v>
      </c>
      <c r="C292" s="912"/>
      <c r="D292" s="291"/>
    </row>
    <row r="293" spans="1:4" ht="13.2">
      <c r="A293" s="17" t="s">
        <v>318</v>
      </c>
      <c r="B293" s="18">
        <v>170</v>
      </c>
      <c r="C293" s="912"/>
      <c r="D293" s="291"/>
    </row>
    <row r="294" spans="1:4" ht="13.2">
      <c r="A294" s="17" t="s">
        <v>319</v>
      </c>
      <c r="B294" s="18">
        <v>170</v>
      </c>
      <c r="C294" s="912"/>
      <c r="D294" s="291"/>
    </row>
    <row r="295" spans="1:4" ht="13.2">
      <c r="A295" s="17" t="s">
        <v>320</v>
      </c>
      <c r="B295" s="18">
        <v>170</v>
      </c>
      <c r="C295" s="912"/>
      <c r="D295" s="291"/>
    </row>
    <row r="296" spans="1:4" ht="13.2">
      <c r="A296" s="17" t="s">
        <v>1229</v>
      </c>
      <c r="B296" s="18">
        <v>170</v>
      </c>
      <c r="C296" s="912"/>
      <c r="D296" s="291"/>
    </row>
    <row r="297" spans="1:4" ht="13.2">
      <c r="A297" s="17" t="s">
        <v>321</v>
      </c>
      <c r="B297" s="18">
        <v>170</v>
      </c>
      <c r="C297" s="912"/>
      <c r="D297" s="291"/>
    </row>
    <row r="298" spans="1:4" ht="13.2">
      <c r="A298" s="17" t="s">
        <v>1230</v>
      </c>
      <c r="B298" s="18">
        <v>170</v>
      </c>
      <c r="C298" s="912"/>
      <c r="D298" s="291"/>
    </row>
    <row r="299" spans="1:4" ht="13.2">
      <c r="A299" s="17" t="s">
        <v>322</v>
      </c>
      <c r="B299" s="18">
        <v>170</v>
      </c>
      <c r="C299" s="912"/>
      <c r="D299" s="291"/>
    </row>
    <row r="300" spans="1:4" ht="13.2">
      <c r="A300" s="17" t="s">
        <v>1231</v>
      </c>
      <c r="B300" s="18">
        <v>170</v>
      </c>
      <c r="C300" s="912"/>
      <c r="D300" s="291"/>
    </row>
    <row r="301" spans="1:4" ht="13.2">
      <c r="A301" s="17" t="s">
        <v>323</v>
      </c>
      <c r="B301" s="18">
        <v>170</v>
      </c>
      <c r="C301" s="912"/>
      <c r="D301" s="291"/>
    </row>
    <row r="302" spans="1:4" ht="13.2">
      <c r="A302" s="17" t="s">
        <v>324</v>
      </c>
      <c r="B302" s="18">
        <v>170</v>
      </c>
      <c r="C302" s="912"/>
      <c r="D302" s="291"/>
    </row>
    <row r="303" spans="1:4" ht="13.2">
      <c r="A303" s="17" t="s">
        <v>325</v>
      </c>
      <c r="B303" s="18">
        <v>170</v>
      </c>
      <c r="C303" s="912"/>
      <c r="D303" s="291"/>
    </row>
    <row r="304" spans="1:4" ht="13.2">
      <c r="A304" s="17" t="s">
        <v>326</v>
      </c>
      <c r="B304" s="18">
        <v>170</v>
      </c>
      <c r="C304" s="912"/>
      <c r="D304" s="291"/>
    </row>
    <row r="305" spans="1:4" ht="13.2">
      <c r="A305" s="17" t="s">
        <v>327</v>
      </c>
      <c r="B305" s="18">
        <v>170</v>
      </c>
      <c r="C305" s="912"/>
      <c r="D305" s="291"/>
    </row>
    <row r="306" spans="1:4" ht="13.2">
      <c r="A306" s="17" t="s">
        <v>328</v>
      </c>
      <c r="B306" s="18">
        <v>170</v>
      </c>
      <c r="C306" s="912"/>
      <c r="D306" s="291"/>
    </row>
    <row r="307" spans="1:4" ht="13.2">
      <c r="A307" s="17" t="s">
        <v>329</v>
      </c>
      <c r="B307" s="18">
        <v>170</v>
      </c>
      <c r="C307" s="912"/>
      <c r="D307" s="291"/>
    </row>
    <row r="308" spans="1:4" ht="13.2">
      <c r="A308" s="17" t="s">
        <v>330</v>
      </c>
      <c r="B308" s="18">
        <v>170</v>
      </c>
      <c r="C308" s="912"/>
      <c r="D308" s="291"/>
    </row>
    <row r="309" spans="1:4" ht="13.2">
      <c r="A309" s="17" t="s">
        <v>331</v>
      </c>
      <c r="B309" s="18">
        <v>170</v>
      </c>
      <c r="C309" s="912"/>
      <c r="D309" s="291"/>
    </row>
    <row r="310" spans="1:4" ht="13.2">
      <c r="A310" s="17" t="s">
        <v>332</v>
      </c>
      <c r="B310" s="18">
        <v>170</v>
      </c>
      <c r="C310" s="912"/>
      <c r="D310" s="291"/>
    </row>
    <row r="311" spans="1:4" ht="13.2">
      <c r="A311" s="17" t="s">
        <v>333</v>
      </c>
      <c r="B311" s="18">
        <v>170</v>
      </c>
      <c r="C311" s="912"/>
      <c r="D311" s="291"/>
    </row>
    <row r="312" spans="1:4" ht="13.2">
      <c r="A312" s="17" t="s">
        <v>334</v>
      </c>
      <c r="B312" s="18">
        <v>170</v>
      </c>
      <c r="C312" s="912"/>
      <c r="D312" s="291"/>
    </row>
    <row r="313" spans="1:4" ht="13.2">
      <c r="A313" s="17" t="s">
        <v>335</v>
      </c>
      <c r="B313" s="18">
        <v>170</v>
      </c>
      <c r="C313" s="912"/>
      <c r="D313" s="291"/>
    </row>
    <row r="314" spans="1:4" ht="13.2">
      <c r="A314" s="17" t="s">
        <v>336</v>
      </c>
      <c r="B314" s="18">
        <v>170</v>
      </c>
      <c r="C314" s="912"/>
      <c r="D314" s="291"/>
    </row>
    <row r="315" spans="1:4" ht="13.2">
      <c r="A315" s="17" t="s">
        <v>1232</v>
      </c>
      <c r="B315" s="18">
        <v>170</v>
      </c>
      <c r="C315" s="912"/>
      <c r="D315" s="291"/>
    </row>
    <row r="316" spans="1:4" ht="13.2">
      <c r="A316" s="17" t="s">
        <v>337</v>
      </c>
      <c r="B316" s="18">
        <v>170</v>
      </c>
      <c r="C316" s="912"/>
      <c r="D316" s="291"/>
    </row>
    <row r="317" spans="1:4" ht="13.2">
      <c r="A317" s="17" t="s">
        <v>1233</v>
      </c>
      <c r="B317" s="18">
        <v>170</v>
      </c>
      <c r="C317" s="912"/>
      <c r="D317" s="291"/>
    </row>
    <row r="318" spans="1:4" ht="13.2">
      <c r="A318" s="17" t="s">
        <v>338</v>
      </c>
      <c r="B318" s="18">
        <v>170</v>
      </c>
      <c r="C318" s="912"/>
      <c r="D318" s="291"/>
    </row>
    <row r="319" spans="1:4" ht="13.2">
      <c r="A319" s="17" t="s">
        <v>1234</v>
      </c>
      <c r="B319" s="18">
        <v>170</v>
      </c>
      <c r="C319" s="912"/>
      <c r="D319" s="291"/>
    </row>
    <row r="320" spans="1:4" ht="13.2">
      <c r="A320" s="17" t="s">
        <v>339</v>
      </c>
      <c r="B320" s="18">
        <v>170</v>
      </c>
      <c r="C320" s="912"/>
      <c r="D320" s="291"/>
    </row>
    <row r="321" spans="1:4" ht="13.2">
      <c r="A321" s="17" t="s">
        <v>340</v>
      </c>
      <c r="B321" s="18">
        <v>170</v>
      </c>
      <c r="C321" s="912"/>
      <c r="D321" s="291"/>
    </row>
    <row r="322" spans="1:4" ht="13.2">
      <c r="A322" s="17" t="s">
        <v>341</v>
      </c>
      <c r="B322" s="18">
        <v>170</v>
      </c>
      <c r="C322" s="912"/>
      <c r="D322" s="291"/>
    </row>
    <row r="323" spans="1:4" ht="13.2">
      <c r="A323" s="17" t="s">
        <v>342</v>
      </c>
      <c r="B323" s="18">
        <v>170</v>
      </c>
      <c r="C323" s="912"/>
      <c r="D323" s="291"/>
    </row>
    <row r="324" spans="1:4" ht="13.2">
      <c r="A324" s="17" t="s">
        <v>343</v>
      </c>
      <c r="B324" s="18">
        <v>170</v>
      </c>
      <c r="C324" s="912"/>
      <c r="D324" s="291"/>
    </row>
    <row r="325" spans="1:4" ht="13.2">
      <c r="A325" s="17" t="s">
        <v>344</v>
      </c>
      <c r="B325" s="18">
        <v>170</v>
      </c>
      <c r="C325" s="912"/>
      <c r="D325" s="291"/>
    </row>
    <row r="326" spans="1:4" ht="13.2">
      <c r="A326" s="17" t="s">
        <v>345</v>
      </c>
      <c r="B326" s="18">
        <v>170</v>
      </c>
      <c r="C326" s="912"/>
      <c r="D326" s="291"/>
    </row>
    <row r="327" spans="1:4" ht="13.2">
      <c r="A327" s="17" t="s">
        <v>346</v>
      </c>
      <c r="B327" s="18">
        <v>170</v>
      </c>
      <c r="C327" s="912"/>
      <c r="D327" s="291"/>
    </row>
    <row r="328" spans="1:4" ht="13.2">
      <c r="A328" s="17" t="s">
        <v>347</v>
      </c>
      <c r="B328" s="18">
        <v>170</v>
      </c>
      <c r="C328" s="912"/>
      <c r="D328" s="291"/>
    </row>
    <row r="329" spans="1:4" ht="13.2">
      <c r="A329" s="17" t="s">
        <v>348</v>
      </c>
      <c r="B329" s="18">
        <v>170</v>
      </c>
      <c r="C329" s="912"/>
      <c r="D329" s="291"/>
    </row>
    <row r="330" spans="1:4" ht="13.2">
      <c r="A330" s="17" t="s">
        <v>349</v>
      </c>
      <c r="B330" s="18">
        <v>170</v>
      </c>
      <c r="C330" s="912"/>
      <c r="D330" s="291"/>
    </row>
    <row r="331" spans="1:4" ht="13.2">
      <c r="A331" s="17" t="s">
        <v>350</v>
      </c>
      <c r="B331" s="18">
        <v>170</v>
      </c>
      <c r="C331" s="912"/>
      <c r="D331" s="291"/>
    </row>
    <row r="332" spans="1:4" ht="13.2">
      <c r="A332" s="17" t="s">
        <v>351</v>
      </c>
      <c r="B332" s="18">
        <v>170</v>
      </c>
      <c r="C332" s="912"/>
      <c r="D332" s="291"/>
    </row>
    <row r="333" spans="1:4" ht="13.2">
      <c r="A333" s="17" t="s">
        <v>352</v>
      </c>
      <c r="B333" s="18">
        <v>170</v>
      </c>
      <c r="C333" s="912"/>
      <c r="D333" s="291"/>
    </row>
    <row r="334" spans="1:4" ht="13.2">
      <c r="A334" s="17" t="s">
        <v>1235</v>
      </c>
      <c r="B334" s="18">
        <v>170</v>
      </c>
      <c r="C334" s="912"/>
      <c r="D334" s="291"/>
    </row>
    <row r="335" spans="1:4" ht="13.2">
      <c r="A335" s="17" t="s">
        <v>353</v>
      </c>
      <c r="B335" s="18">
        <v>170</v>
      </c>
      <c r="C335" s="912"/>
      <c r="D335" s="291"/>
    </row>
    <row r="336" spans="1:4" ht="13.2">
      <c r="A336" s="17" t="s">
        <v>1236</v>
      </c>
      <c r="B336" s="18">
        <v>170</v>
      </c>
      <c r="C336" s="912"/>
      <c r="D336" s="291"/>
    </row>
    <row r="337" spans="1:4" ht="13.2">
      <c r="A337" s="17" t="s">
        <v>354</v>
      </c>
      <c r="B337" s="18">
        <v>170</v>
      </c>
      <c r="C337" s="912"/>
      <c r="D337" s="291"/>
    </row>
    <row r="338" spans="1:4" ht="13.2">
      <c r="A338" s="17" t="s">
        <v>1237</v>
      </c>
      <c r="B338" s="18">
        <v>170</v>
      </c>
      <c r="C338" s="912"/>
      <c r="D338" s="291"/>
    </row>
    <row r="339" spans="1:4" ht="13.2">
      <c r="A339" s="17" t="s">
        <v>355</v>
      </c>
      <c r="B339" s="18">
        <v>170</v>
      </c>
      <c r="C339" s="912"/>
      <c r="D339" s="291"/>
    </row>
    <row r="340" spans="1:4" ht="13.2">
      <c r="A340" s="17" t="s">
        <v>356</v>
      </c>
      <c r="B340" s="18">
        <v>170</v>
      </c>
      <c r="C340" s="912"/>
      <c r="D340" s="291"/>
    </row>
    <row r="341" spans="1:4" ht="13.2">
      <c r="A341" s="17" t="s">
        <v>357</v>
      </c>
      <c r="B341" s="18">
        <v>170</v>
      </c>
      <c r="C341" s="912"/>
      <c r="D341" s="291"/>
    </row>
    <row r="342" spans="1:4" ht="13.2">
      <c r="A342" s="17" t="s">
        <v>358</v>
      </c>
      <c r="B342" s="18">
        <v>170</v>
      </c>
      <c r="C342" s="912"/>
      <c r="D342" s="291"/>
    </row>
    <row r="343" spans="1:4" ht="13.2">
      <c r="A343" s="17" t="s">
        <v>359</v>
      </c>
      <c r="B343" s="18">
        <v>170</v>
      </c>
      <c r="C343" s="912"/>
      <c r="D343" s="291"/>
    </row>
    <row r="344" spans="1:4" ht="13.2">
      <c r="A344" s="17" t="s">
        <v>360</v>
      </c>
      <c r="B344" s="18">
        <v>170</v>
      </c>
      <c r="C344" s="912"/>
      <c r="D344" s="291"/>
    </row>
    <row r="345" spans="1:4" ht="13.2">
      <c r="A345" s="17" t="s">
        <v>361</v>
      </c>
      <c r="B345" s="18">
        <v>170</v>
      </c>
      <c r="C345" s="912"/>
      <c r="D345" s="291"/>
    </row>
    <row r="346" spans="1:4" ht="13.2">
      <c r="A346" s="17" t="s">
        <v>362</v>
      </c>
      <c r="B346" s="18">
        <v>170</v>
      </c>
      <c r="C346" s="912"/>
      <c r="D346" s="291"/>
    </row>
    <row r="347" spans="1:4" ht="13.2">
      <c r="A347" s="17" t="s">
        <v>363</v>
      </c>
      <c r="B347" s="18">
        <v>170</v>
      </c>
      <c r="C347" s="912"/>
      <c r="D347" s="291"/>
    </row>
    <row r="348" spans="1:4" ht="13.2">
      <c r="A348" s="17" t="s">
        <v>364</v>
      </c>
      <c r="B348" s="18">
        <v>170</v>
      </c>
      <c r="C348" s="912"/>
      <c r="D348" s="291"/>
    </row>
    <row r="349" spans="1:4" ht="13.2">
      <c r="A349" s="17" t="s">
        <v>1361</v>
      </c>
      <c r="B349" s="18">
        <v>350</v>
      </c>
      <c r="C349" s="912"/>
      <c r="D349" s="292"/>
    </row>
    <row r="350" spans="1:4" ht="13.2">
      <c r="A350" s="17" t="s">
        <v>1362</v>
      </c>
      <c r="B350" s="18">
        <v>350</v>
      </c>
      <c r="C350" s="912"/>
      <c r="D350" s="292"/>
    </row>
    <row r="351" spans="1:4" ht="13.2">
      <c r="A351" s="17" t="s">
        <v>1363</v>
      </c>
      <c r="B351" s="18">
        <v>350</v>
      </c>
      <c r="C351" s="912"/>
      <c r="D351" s="292"/>
    </row>
    <row r="352" spans="1:4" ht="13.2">
      <c r="A352" s="17" t="s">
        <v>1364</v>
      </c>
      <c r="B352" s="18">
        <v>350</v>
      </c>
      <c r="C352" s="912"/>
      <c r="D352" s="292"/>
    </row>
    <row r="353" spans="1:4" ht="13.2">
      <c r="A353" s="17" t="s">
        <v>1365</v>
      </c>
      <c r="B353" s="18">
        <v>350</v>
      </c>
      <c r="C353" s="912"/>
      <c r="D353" s="292"/>
    </row>
    <row r="354" spans="1:4" ht="13.2">
      <c r="A354" s="17" t="s">
        <v>1366</v>
      </c>
      <c r="B354" s="18">
        <v>350</v>
      </c>
      <c r="C354" s="912"/>
      <c r="D354" s="292"/>
    </row>
    <row r="355" spans="1:4" ht="13.2">
      <c r="A355" s="17" t="s">
        <v>1367</v>
      </c>
      <c r="B355" s="18">
        <v>350</v>
      </c>
      <c r="C355" s="912"/>
      <c r="D355" s="292"/>
    </row>
    <row r="356" spans="1:4" ht="13.2">
      <c r="A356" s="17" t="s">
        <v>1368</v>
      </c>
      <c r="B356" s="18">
        <v>350</v>
      </c>
      <c r="C356" s="912"/>
      <c r="D356" s="292"/>
    </row>
    <row r="357" spans="1:4" ht="13.2">
      <c r="A357" s="17" t="s">
        <v>1369</v>
      </c>
      <c r="B357" s="18">
        <v>350</v>
      </c>
      <c r="C357" s="912"/>
      <c r="D357" s="292"/>
    </row>
    <row r="358" spans="1:4" ht="13.2">
      <c r="A358" s="17" t="s">
        <v>1370</v>
      </c>
      <c r="B358" s="18">
        <v>350</v>
      </c>
      <c r="C358" s="912"/>
      <c r="D358" s="292"/>
    </row>
    <row r="359" spans="1:4" ht="13.2">
      <c r="A359" s="17" t="s">
        <v>1371</v>
      </c>
      <c r="B359" s="18">
        <v>350</v>
      </c>
      <c r="C359" s="912"/>
      <c r="D359" s="292"/>
    </row>
    <row r="360" spans="1:4" ht="13.2">
      <c r="A360" s="17" t="s">
        <v>1372</v>
      </c>
      <c r="B360" s="18">
        <v>350</v>
      </c>
      <c r="C360" s="912"/>
      <c r="D360" s="292"/>
    </row>
    <row r="361" spans="1:4" ht="13.2">
      <c r="A361" s="17" t="s">
        <v>1373</v>
      </c>
      <c r="B361" s="18">
        <v>350</v>
      </c>
      <c r="C361" s="912"/>
      <c r="D361" s="292"/>
    </row>
    <row r="362" spans="1:4" ht="13.2">
      <c r="A362" s="17" t="s">
        <v>1374</v>
      </c>
      <c r="B362" s="18">
        <v>350</v>
      </c>
      <c r="C362" s="912"/>
      <c r="D362" s="292"/>
    </row>
    <row r="363" spans="1:4" ht="13.2">
      <c r="A363" s="17" t="s">
        <v>1375</v>
      </c>
      <c r="B363" s="18">
        <v>350</v>
      </c>
      <c r="C363" s="912"/>
      <c r="D363" s="292"/>
    </row>
    <row r="364" spans="1:4" ht="13.2">
      <c r="A364" s="17" t="s">
        <v>1376</v>
      </c>
      <c r="B364" s="18">
        <v>350</v>
      </c>
      <c r="C364" s="912"/>
      <c r="D364" s="292"/>
    </row>
    <row r="365" spans="1:4" ht="13.2">
      <c r="A365" s="17" t="s">
        <v>1377</v>
      </c>
      <c r="B365" s="18">
        <v>350</v>
      </c>
      <c r="C365" s="912"/>
      <c r="D365" s="292"/>
    </row>
    <row r="366" spans="1:4" ht="13.2">
      <c r="A366" s="17" t="s">
        <v>1378</v>
      </c>
      <c r="B366" s="18">
        <v>350</v>
      </c>
      <c r="C366" s="912"/>
      <c r="D366" s="292"/>
    </row>
    <row r="367" spans="1:4" ht="13.2">
      <c r="A367" s="17" t="s">
        <v>1379</v>
      </c>
      <c r="B367" s="18">
        <v>350</v>
      </c>
      <c r="C367" s="912"/>
      <c r="D367" s="292"/>
    </row>
    <row r="368" spans="1:4" ht="13.2">
      <c r="A368" s="17" t="s">
        <v>1380</v>
      </c>
      <c r="B368" s="18">
        <v>350</v>
      </c>
      <c r="C368" s="912"/>
      <c r="D368" s="292"/>
    </row>
    <row r="369" spans="1:4" ht="13.2">
      <c r="A369" s="17" t="s">
        <v>1381</v>
      </c>
      <c r="B369" s="18">
        <v>350</v>
      </c>
      <c r="C369" s="912"/>
      <c r="D369" s="292"/>
    </row>
    <row r="370" spans="1:4" ht="13.2">
      <c r="A370" s="17" t="s">
        <v>1382</v>
      </c>
      <c r="B370" s="18">
        <v>350</v>
      </c>
      <c r="C370" s="912"/>
      <c r="D370" s="292"/>
    </row>
    <row r="371" spans="1:4" ht="13.2">
      <c r="A371" s="17" t="s">
        <v>1383</v>
      </c>
      <c r="B371" s="18">
        <v>350</v>
      </c>
      <c r="C371" s="912"/>
      <c r="D371" s="292"/>
    </row>
    <row r="372" spans="1:4" ht="13.2">
      <c r="A372" s="17" t="s">
        <v>1384</v>
      </c>
      <c r="B372" s="18">
        <v>350</v>
      </c>
      <c r="C372" s="912"/>
      <c r="D372" s="292"/>
    </row>
    <row r="373" spans="1:4" ht="13.2">
      <c r="A373" s="17" t="s">
        <v>1385</v>
      </c>
      <c r="B373" s="18">
        <v>350</v>
      </c>
      <c r="C373" s="912"/>
      <c r="D373" s="292"/>
    </row>
    <row r="374" spans="1:4" ht="13.2">
      <c r="A374" s="17" t="s">
        <v>1386</v>
      </c>
      <c r="B374" s="18">
        <v>350</v>
      </c>
      <c r="C374" s="912"/>
      <c r="D374" s="292"/>
    </row>
    <row r="375" spans="1:4" ht="13.2">
      <c r="A375" s="17" t="s">
        <v>1387</v>
      </c>
      <c r="B375" s="18">
        <v>350</v>
      </c>
      <c r="C375" s="912"/>
      <c r="D375" s="292"/>
    </row>
    <row r="376" spans="1:4" ht="13.2">
      <c r="A376" s="17" t="s">
        <v>1388</v>
      </c>
      <c r="B376" s="18">
        <v>350</v>
      </c>
      <c r="C376" s="912"/>
      <c r="D376" s="292"/>
    </row>
    <row r="377" spans="1:4" ht="13.2">
      <c r="A377" s="17" t="s">
        <v>1389</v>
      </c>
      <c r="B377" s="18">
        <v>350</v>
      </c>
      <c r="C377" s="912"/>
      <c r="D377" s="292"/>
    </row>
    <row r="378" spans="1:4" ht="13.2">
      <c r="A378" s="17" t="s">
        <v>1390</v>
      </c>
      <c r="B378" s="18">
        <v>350</v>
      </c>
      <c r="C378" s="912"/>
      <c r="D378" s="292"/>
    </row>
    <row r="379" spans="1:4" ht="13.2">
      <c r="A379" s="17" t="s">
        <v>1391</v>
      </c>
      <c r="B379" s="18">
        <v>350</v>
      </c>
      <c r="C379" s="912"/>
      <c r="D379" s="292"/>
    </row>
    <row r="380" spans="1:4" ht="13.2">
      <c r="A380" s="17" t="s">
        <v>1392</v>
      </c>
      <c r="B380" s="18">
        <v>350</v>
      </c>
      <c r="C380" s="912"/>
      <c r="D380" s="292"/>
    </row>
    <row r="381" spans="1:4" ht="13.2">
      <c r="A381" s="17" t="s">
        <v>1393</v>
      </c>
      <c r="B381" s="18">
        <v>350</v>
      </c>
      <c r="C381" s="912"/>
      <c r="D381" s="292"/>
    </row>
    <row r="382" spans="1:4" ht="13.2">
      <c r="A382" s="17" t="s">
        <v>1394</v>
      </c>
      <c r="B382" s="18">
        <v>350</v>
      </c>
      <c r="C382" s="912"/>
      <c r="D382" s="292"/>
    </row>
    <row r="383" spans="1:4" ht="13.2">
      <c r="A383" s="17" t="s">
        <v>1395</v>
      </c>
      <c r="B383" s="18">
        <v>350</v>
      </c>
      <c r="C383" s="912"/>
      <c r="D383" s="292"/>
    </row>
    <row r="384" spans="1:4" ht="13.2">
      <c r="A384" s="17" t="s">
        <v>1396</v>
      </c>
      <c r="B384" s="18">
        <v>350</v>
      </c>
      <c r="C384" s="912"/>
      <c r="D384" s="292"/>
    </row>
    <row r="385" spans="1:4" ht="13.2">
      <c r="A385" s="17" t="s">
        <v>1397</v>
      </c>
      <c r="B385" s="18">
        <v>350</v>
      </c>
      <c r="C385" s="912"/>
      <c r="D385" s="292"/>
    </row>
    <row r="386" spans="1:4" ht="13.2">
      <c r="A386" s="17" t="s">
        <v>1398</v>
      </c>
      <c r="B386" s="18">
        <v>350</v>
      </c>
      <c r="C386" s="912"/>
      <c r="D386" s="292"/>
    </row>
    <row r="387" spans="1:4" ht="13.2">
      <c r="A387" s="17" t="s">
        <v>1399</v>
      </c>
      <c r="B387" s="18">
        <v>350</v>
      </c>
      <c r="C387" s="912"/>
      <c r="D387" s="292"/>
    </row>
    <row r="388" spans="1:4" ht="13.2">
      <c r="A388" s="17" t="s">
        <v>1400</v>
      </c>
      <c r="B388" s="18">
        <v>350</v>
      </c>
      <c r="C388" s="912"/>
      <c r="D388" s="292"/>
    </row>
    <row r="389" spans="1:4" ht="13.2">
      <c r="A389" s="17" t="s">
        <v>1401</v>
      </c>
      <c r="B389" s="18">
        <v>350</v>
      </c>
      <c r="C389" s="912"/>
      <c r="D389" s="292"/>
    </row>
    <row r="390" spans="1:4" ht="13.2">
      <c r="A390" s="17" t="s">
        <v>1402</v>
      </c>
      <c r="B390" s="18">
        <v>350</v>
      </c>
      <c r="C390" s="912"/>
      <c r="D390" s="292"/>
    </row>
    <row r="391" spans="1:4" ht="13.2">
      <c r="A391" s="17" t="s">
        <v>1403</v>
      </c>
      <c r="B391" s="18">
        <v>350</v>
      </c>
      <c r="C391" s="912"/>
      <c r="D391" s="292"/>
    </row>
    <row r="392" spans="1:4" ht="13.2">
      <c r="A392" s="17" t="s">
        <v>1404</v>
      </c>
      <c r="B392" s="18">
        <v>350</v>
      </c>
      <c r="C392" s="912"/>
      <c r="D392" s="292"/>
    </row>
    <row r="393" spans="1:4" ht="13.2">
      <c r="A393" s="17" t="s">
        <v>1405</v>
      </c>
      <c r="B393" s="18">
        <v>350</v>
      </c>
      <c r="C393" s="912"/>
      <c r="D393" s="292"/>
    </row>
    <row r="394" spans="1:4" ht="13.2">
      <c r="A394" s="17" t="s">
        <v>1406</v>
      </c>
      <c r="B394" s="18">
        <v>350</v>
      </c>
      <c r="C394" s="912"/>
      <c r="D394" s="292"/>
    </row>
    <row r="395" spans="1:4" ht="13.2">
      <c r="A395" s="17" t="s">
        <v>1407</v>
      </c>
      <c r="B395" s="18">
        <v>350</v>
      </c>
      <c r="C395" s="912"/>
      <c r="D395" s="292"/>
    </row>
    <row r="396" spans="1:4" ht="13.2">
      <c r="A396" s="17" t="s">
        <v>1408</v>
      </c>
      <c r="B396" s="18">
        <v>350</v>
      </c>
      <c r="C396" s="912"/>
      <c r="D396" s="292"/>
    </row>
    <row r="397" spans="1:4" ht="13.2">
      <c r="A397" s="17" t="s">
        <v>1409</v>
      </c>
      <c r="B397" s="18">
        <v>350</v>
      </c>
      <c r="C397" s="912"/>
      <c r="D397" s="292"/>
    </row>
    <row r="398" spans="1:4" ht="13.2">
      <c r="A398" s="17" t="s">
        <v>1410</v>
      </c>
      <c r="B398" s="18">
        <v>350</v>
      </c>
      <c r="C398" s="912"/>
      <c r="D398" s="292"/>
    </row>
    <row r="399" spans="1:4" ht="13.2">
      <c r="A399" s="17" t="s">
        <v>1411</v>
      </c>
      <c r="B399" s="18">
        <v>350</v>
      </c>
      <c r="C399" s="912"/>
      <c r="D399" s="292"/>
    </row>
    <row r="400" spans="1:4" ht="13.2">
      <c r="A400" s="17" t="s">
        <v>1412</v>
      </c>
      <c r="B400" s="18">
        <v>350</v>
      </c>
      <c r="C400" s="912"/>
      <c r="D400" s="292"/>
    </row>
    <row r="401" spans="1:4" ht="13.2">
      <c r="A401" s="17" t="s">
        <v>1413</v>
      </c>
      <c r="B401" s="18">
        <v>350</v>
      </c>
      <c r="C401" s="912"/>
      <c r="D401" s="292"/>
    </row>
    <row r="402" spans="1:4" ht="13.2">
      <c r="A402" s="17" t="s">
        <v>1360</v>
      </c>
      <c r="B402" s="18">
        <v>350</v>
      </c>
      <c r="C402" s="912"/>
      <c r="D402" s="292"/>
    </row>
    <row r="403" spans="1:4" ht="13.2">
      <c r="A403" s="17" t="s">
        <v>1414</v>
      </c>
      <c r="B403" s="18">
        <v>350</v>
      </c>
      <c r="C403" s="912"/>
      <c r="D403" s="292"/>
    </row>
    <row r="404" spans="1:4" ht="13.2">
      <c r="A404" s="17" t="s">
        <v>1415</v>
      </c>
      <c r="B404" s="18">
        <v>350</v>
      </c>
      <c r="C404" s="912"/>
      <c r="D404" s="292"/>
    </row>
    <row r="405" spans="1:4" ht="13.2">
      <c r="A405" s="288" t="s">
        <v>1416</v>
      </c>
      <c r="B405" s="18">
        <v>350</v>
      </c>
      <c r="C405" s="912"/>
      <c r="D405" s="292"/>
    </row>
    <row r="406" spans="1:4" ht="13.2">
      <c r="A406" s="17" t="s">
        <v>365</v>
      </c>
      <c r="B406" s="18">
        <v>290</v>
      </c>
      <c r="C406" s="912"/>
      <c r="D406" s="291"/>
    </row>
    <row r="407" spans="1:4" ht="13.2">
      <c r="A407" s="17" t="s">
        <v>366</v>
      </c>
      <c r="B407" s="18">
        <v>290</v>
      </c>
      <c r="C407" s="912"/>
      <c r="D407" s="291"/>
    </row>
    <row r="408" spans="1:4" ht="13.2">
      <c r="A408" s="17" t="s">
        <v>367</v>
      </c>
      <c r="B408" s="18">
        <v>290</v>
      </c>
      <c r="C408" s="912"/>
      <c r="D408" s="291"/>
    </row>
    <row r="409" spans="1:4" ht="13.2">
      <c r="A409" s="17" t="s">
        <v>368</v>
      </c>
      <c r="B409" s="18">
        <v>290</v>
      </c>
      <c r="C409" s="912"/>
      <c r="D409" s="291"/>
    </row>
    <row r="410" spans="1:4" ht="13.2">
      <c r="A410" s="17" t="s">
        <v>1238</v>
      </c>
      <c r="B410" s="18">
        <v>290</v>
      </c>
      <c r="C410" s="912"/>
      <c r="D410" s="291"/>
    </row>
    <row r="411" spans="1:4" ht="13.2">
      <c r="A411" s="17" t="s">
        <v>369</v>
      </c>
      <c r="B411" s="18">
        <v>290</v>
      </c>
      <c r="C411" s="912"/>
      <c r="D411" s="291"/>
    </row>
    <row r="412" spans="1:4" ht="13.2">
      <c r="A412" s="17" t="s">
        <v>1239</v>
      </c>
      <c r="B412" s="18">
        <v>290</v>
      </c>
      <c r="C412" s="912"/>
      <c r="D412" s="291"/>
    </row>
    <row r="413" spans="1:4" ht="13.2">
      <c r="A413" s="17" t="s">
        <v>370</v>
      </c>
      <c r="B413" s="18">
        <v>290</v>
      </c>
      <c r="C413" s="912"/>
      <c r="D413" s="291"/>
    </row>
    <row r="414" spans="1:4" ht="13.2">
      <c r="A414" s="17" t="s">
        <v>1240</v>
      </c>
      <c r="B414" s="18">
        <v>290</v>
      </c>
      <c r="C414" s="912"/>
      <c r="D414" s="291"/>
    </row>
    <row r="415" spans="1:4" ht="13.2">
      <c r="A415" s="17" t="s">
        <v>371</v>
      </c>
      <c r="B415" s="18">
        <v>290</v>
      </c>
      <c r="C415" s="912"/>
      <c r="D415" s="291"/>
    </row>
    <row r="416" spans="1:4" ht="13.2">
      <c r="A416" s="17" t="s">
        <v>372</v>
      </c>
      <c r="B416" s="18">
        <v>290</v>
      </c>
      <c r="C416" s="912"/>
      <c r="D416" s="291"/>
    </row>
    <row r="417" spans="1:4" ht="13.2">
      <c r="A417" s="17" t="s">
        <v>373</v>
      </c>
      <c r="B417" s="18">
        <v>290</v>
      </c>
      <c r="C417" s="912"/>
      <c r="D417" s="291"/>
    </row>
    <row r="418" spans="1:4" ht="13.2">
      <c r="A418" s="17" t="s">
        <v>374</v>
      </c>
      <c r="B418" s="18">
        <v>290</v>
      </c>
      <c r="C418" s="912"/>
      <c r="D418" s="291"/>
    </row>
    <row r="419" spans="1:4" ht="13.2">
      <c r="A419" s="17" t="s">
        <v>375</v>
      </c>
      <c r="B419" s="18">
        <v>290</v>
      </c>
      <c r="C419" s="912"/>
      <c r="D419" s="291"/>
    </row>
    <row r="420" spans="1:4" ht="13.2">
      <c r="A420" s="17" t="s">
        <v>376</v>
      </c>
      <c r="B420" s="18">
        <v>290</v>
      </c>
      <c r="C420" s="912"/>
      <c r="D420" s="291"/>
    </row>
    <row r="421" spans="1:4" ht="13.2">
      <c r="A421" s="17" t="s">
        <v>377</v>
      </c>
      <c r="B421" s="18">
        <v>290</v>
      </c>
      <c r="C421" s="912"/>
      <c r="D421" s="291"/>
    </row>
    <row r="422" spans="1:4" ht="13.2">
      <c r="A422" s="17" t="s">
        <v>378</v>
      </c>
      <c r="B422" s="18">
        <v>290</v>
      </c>
      <c r="C422" s="912"/>
      <c r="D422" s="291"/>
    </row>
    <row r="423" spans="1:4" ht="13.2">
      <c r="A423" s="17" t="s">
        <v>379</v>
      </c>
      <c r="B423" s="18">
        <v>290</v>
      </c>
      <c r="C423" s="912"/>
      <c r="D423" s="291"/>
    </row>
    <row r="424" spans="1:4" ht="13.2">
      <c r="A424" s="17" t="s">
        <v>380</v>
      </c>
      <c r="B424" s="18">
        <v>290</v>
      </c>
      <c r="C424" s="912"/>
      <c r="D424" s="291"/>
    </row>
    <row r="425" spans="1:4" ht="13.2">
      <c r="A425" s="17" t="s">
        <v>381</v>
      </c>
      <c r="B425" s="18">
        <v>290</v>
      </c>
      <c r="C425" s="912"/>
      <c r="D425" s="291"/>
    </row>
    <row r="426" spans="1:4" ht="13.2">
      <c r="A426" s="17" t="s">
        <v>382</v>
      </c>
      <c r="B426" s="18">
        <v>290</v>
      </c>
      <c r="C426" s="912"/>
      <c r="D426" s="291"/>
    </row>
    <row r="427" spans="1:4" ht="13.2">
      <c r="A427" s="17" t="s">
        <v>383</v>
      </c>
      <c r="B427" s="18">
        <v>290</v>
      </c>
      <c r="C427" s="912"/>
      <c r="D427" s="291"/>
    </row>
    <row r="428" spans="1:4" ht="13.2">
      <c r="A428" s="17" t="s">
        <v>384</v>
      </c>
      <c r="B428" s="18">
        <v>290</v>
      </c>
      <c r="C428" s="912"/>
      <c r="D428" s="291"/>
    </row>
    <row r="429" spans="1:4" ht="13.2">
      <c r="A429" s="17" t="s">
        <v>1241</v>
      </c>
      <c r="B429" s="18">
        <v>290</v>
      </c>
      <c r="C429" s="912"/>
      <c r="D429" s="291"/>
    </row>
    <row r="430" spans="1:4" ht="13.2">
      <c r="A430" s="17" t="s">
        <v>385</v>
      </c>
      <c r="B430" s="18">
        <v>290</v>
      </c>
      <c r="C430" s="912"/>
      <c r="D430" s="291"/>
    </row>
    <row r="431" spans="1:4" ht="13.2">
      <c r="A431" s="17" t="s">
        <v>1242</v>
      </c>
      <c r="B431" s="18">
        <v>290</v>
      </c>
      <c r="C431" s="912"/>
      <c r="D431" s="291"/>
    </row>
    <row r="432" spans="1:4" ht="13.2">
      <c r="A432" s="17" t="s">
        <v>386</v>
      </c>
      <c r="B432" s="18">
        <v>290</v>
      </c>
      <c r="C432" s="912"/>
      <c r="D432" s="291"/>
    </row>
    <row r="433" spans="1:4" ht="13.2">
      <c r="A433" s="17" t="s">
        <v>1243</v>
      </c>
      <c r="B433" s="18">
        <v>290</v>
      </c>
      <c r="C433" s="912"/>
      <c r="D433" s="291"/>
    </row>
    <row r="434" spans="1:4" ht="13.2">
      <c r="A434" s="17" t="s">
        <v>387</v>
      </c>
      <c r="B434" s="18">
        <v>290</v>
      </c>
      <c r="C434" s="912"/>
      <c r="D434" s="291"/>
    </row>
    <row r="435" spans="1:4" ht="13.2">
      <c r="A435" s="17" t="s">
        <v>388</v>
      </c>
      <c r="B435" s="18">
        <v>290</v>
      </c>
      <c r="C435" s="912"/>
      <c r="D435" s="291"/>
    </row>
    <row r="436" spans="1:4" ht="13.2">
      <c r="A436" s="17" t="s">
        <v>389</v>
      </c>
      <c r="B436" s="18">
        <v>290</v>
      </c>
      <c r="C436" s="912"/>
      <c r="D436" s="291"/>
    </row>
    <row r="437" spans="1:4" ht="13.2">
      <c r="A437" s="17" t="s">
        <v>390</v>
      </c>
      <c r="B437" s="18">
        <v>290</v>
      </c>
      <c r="C437" s="912"/>
      <c r="D437" s="291"/>
    </row>
    <row r="438" spans="1:4" ht="13.2">
      <c r="A438" s="17" t="s">
        <v>391</v>
      </c>
      <c r="B438" s="18">
        <v>290</v>
      </c>
      <c r="C438" s="912"/>
      <c r="D438" s="291"/>
    </row>
    <row r="439" spans="1:4" ht="13.2">
      <c r="A439" s="17" t="s">
        <v>392</v>
      </c>
      <c r="B439" s="18">
        <v>290</v>
      </c>
      <c r="C439" s="912"/>
      <c r="D439" s="291"/>
    </row>
    <row r="440" spans="1:4" ht="13.2">
      <c r="A440" s="17" t="s">
        <v>393</v>
      </c>
      <c r="B440" s="18">
        <v>290</v>
      </c>
      <c r="C440" s="912"/>
      <c r="D440" s="291"/>
    </row>
    <row r="441" spans="1:4" ht="13.2">
      <c r="A441" s="17" t="s">
        <v>394</v>
      </c>
      <c r="B441" s="18">
        <v>290</v>
      </c>
      <c r="C441" s="912"/>
      <c r="D441" s="291"/>
    </row>
    <row r="442" spans="1:4" ht="13.2">
      <c r="A442" s="17" t="s">
        <v>395</v>
      </c>
      <c r="B442" s="18">
        <v>290</v>
      </c>
      <c r="C442" s="912"/>
      <c r="D442" s="291"/>
    </row>
    <row r="443" spans="1:4" ht="13.2">
      <c r="A443" s="17" t="s">
        <v>396</v>
      </c>
      <c r="B443" s="18">
        <v>290</v>
      </c>
      <c r="C443" s="912"/>
      <c r="D443" s="291"/>
    </row>
    <row r="444" spans="1:4" ht="13.2">
      <c r="A444" s="17" t="s">
        <v>397</v>
      </c>
      <c r="B444" s="18">
        <v>290</v>
      </c>
      <c r="C444" s="912"/>
      <c r="D444" s="291"/>
    </row>
    <row r="445" spans="1:4" ht="13.2">
      <c r="A445" s="17" t="s">
        <v>398</v>
      </c>
      <c r="B445" s="18">
        <v>290</v>
      </c>
      <c r="C445" s="912"/>
      <c r="D445" s="291"/>
    </row>
    <row r="446" spans="1:4" ht="13.2">
      <c r="A446" s="17" t="s">
        <v>399</v>
      </c>
      <c r="B446" s="18">
        <v>290</v>
      </c>
      <c r="C446" s="912"/>
      <c r="D446" s="291"/>
    </row>
    <row r="447" spans="1:4" ht="13.2">
      <c r="A447" s="17" t="s">
        <v>400</v>
      </c>
      <c r="B447" s="18">
        <v>290</v>
      </c>
      <c r="C447" s="912"/>
      <c r="D447" s="291"/>
    </row>
    <row r="448" spans="1:4" ht="13.2">
      <c r="A448" s="17" t="s">
        <v>1244</v>
      </c>
      <c r="B448" s="18">
        <v>290</v>
      </c>
      <c r="C448" s="912"/>
      <c r="D448" s="291"/>
    </row>
    <row r="449" spans="1:4" ht="13.2">
      <c r="A449" s="17" t="s">
        <v>401</v>
      </c>
      <c r="B449" s="18">
        <v>290</v>
      </c>
      <c r="C449" s="912"/>
      <c r="D449" s="291"/>
    </row>
    <row r="450" spans="1:4" ht="13.2">
      <c r="A450" s="17" t="s">
        <v>1245</v>
      </c>
      <c r="B450" s="18">
        <v>290</v>
      </c>
      <c r="C450" s="912"/>
      <c r="D450" s="291"/>
    </row>
    <row r="451" spans="1:4" ht="13.2">
      <c r="A451" s="17" t="s">
        <v>402</v>
      </c>
      <c r="B451" s="18">
        <v>290</v>
      </c>
      <c r="C451" s="912"/>
      <c r="D451" s="291"/>
    </row>
    <row r="452" spans="1:4" ht="13.2">
      <c r="A452" s="17" t="s">
        <v>1246</v>
      </c>
      <c r="B452" s="18">
        <v>290</v>
      </c>
      <c r="C452" s="912"/>
      <c r="D452" s="291"/>
    </row>
    <row r="453" spans="1:4" ht="13.2">
      <c r="A453" s="17" t="s">
        <v>403</v>
      </c>
      <c r="B453" s="18">
        <v>290</v>
      </c>
      <c r="C453" s="912"/>
      <c r="D453" s="291"/>
    </row>
    <row r="454" spans="1:4" ht="13.2">
      <c r="A454" s="17" t="s">
        <v>404</v>
      </c>
      <c r="B454" s="18">
        <v>290</v>
      </c>
      <c r="C454" s="912"/>
      <c r="D454" s="291"/>
    </row>
    <row r="455" spans="1:4" ht="13.2">
      <c r="A455" s="17" t="s">
        <v>405</v>
      </c>
      <c r="B455" s="18">
        <v>290</v>
      </c>
      <c r="C455" s="912"/>
      <c r="D455" s="291"/>
    </row>
    <row r="456" spans="1:4" ht="13.2">
      <c r="A456" s="17" t="s">
        <v>406</v>
      </c>
      <c r="B456" s="18">
        <v>290</v>
      </c>
      <c r="C456" s="912"/>
      <c r="D456" s="291"/>
    </row>
    <row r="457" spans="1:4" ht="13.2">
      <c r="A457" s="17" t="s">
        <v>407</v>
      </c>
      <c r="B457" s="18">
        <v>290</v>
      </c>
      <c r="C457" s="912"/>
      <c r="D457" s="291"/>
    </row>
    <row r="458" spans="1:4" ht="13.2">
      <c r="A458" s="17" t="s">
        <v>408</v>
      </c>
      <c r="B458" s="18">
        <v>290</v>
      </c>
      <c r="C458" s="912"/>
      <c r="D458" s="291"/>
    </row>
    <row r="459" spans="1:4" ht="13.2">
      <c r="A459" s="17" t="s">
        <v>409</v>
      </c>
      <c r="B459" s="18">
        <v>290</v>
      </c>
      <c r="C459" s="912"/>
      <c r="D459" s="291"/>
    </row>
    <row r="460" spans="1:4" ht="13.2">
      <c r="A460" s="17" t="s">
        <v>410</v>
      </c>
      <c r="B460" s="18">
        <v>290</v>
      </c>
      <c r="C460" s="912"/>
      <c r="D460" s="291"/>
    </row>
    <row r="461" spans="1:4" ht="13.2">
      <c r="A461" s="17" t="s">
        <v>411</v>
      </c>
      <c r="B461" s="18">
        <v>290</v>
      </c>
      <c r="C461" s="912"/>
      <c r="D461" s="291"/>
    </row>
    <row r="462" spans="1:4" ht="13.8" thickBot="1">
      <c r="A462" s="23" t="s">
        <v>412</v>
      </c>
      <c r="B462" s="24">
        <v>290</v>
      </c>
      <c r="C462" s="913"/>
      <c r="D462" s="291"/>
    </row>
    <row r="463" spans="1:4" ht="13.2">
      <c r="A463" s="21" t="s">
        <v>413</v>
      </c>
      <c r="B463" s="22">
        <v>270</v>
      </c>
      <c r="C463" s="903" t="s">
        <v>414</v>
      </c>
      <c r="D463" s="291"/>
    </row>
    <row r="464" spans="1:4" ht="13.2">
      <c r="A464" s="17" t="s">
        <v>415</v>
      </c>
      <c r="B464" s="18">
        <v>270</v>
      </c>
      <c r="C464" s="904"/>
      <c r="D464" s="291"/>
    </row>
    <row r="465" spans="1:4" ht="13.2">
      <c r="A465" s="17" t="s">
        <v>416</v>
      </c>
      <c r="B465" s="18">
        <v>270</v>
      </c>
      <c r="C465" s="904"/>
      <c r="D465" s="291"/>
    </row>
    <row r="466" spans="1:4" ht="13.2">
      <c r="A466" s="17" t="s">
        <v>417</v>
      </c>
      <c r="B466" s="18">
        <v>270</v>
      </c>
      <c r="C466" s="904"/>
      <c r="D466" s="291"/>
    </row>
    <row r="467" spans="1:4" ht="13.2">
      <c r="A467" s="17" t="s">
        <v>418</v>
      </c>
      <c r="B467" s="18">
        <v>270</v>
      </c>
      <c r="C467" s="904"/>
      <c r="D467" s="291"/>
    </row>
    <row r="468" spans="1:4" ht="13.2">
      <c r="A468" s="17" t="s">
        <v>419</v>
      </c>
      <c r="B468" s="18">
        <v>270</v>
      </c>
      <c r="C468" s="904"/>
      <c r="D468" s="291"/>
    </row>
    <row r="469" spans="1:4" ht="13.2">
      <c r="A469" s="17" t="s">
        <v>420</v>
      </c>
      <c r="B469" s="18">
        <v>270</v>
      </c>
      <c r="C469" s="904"/>
      <c r="D469" s="291"/>
    </row>
    <row r="470" spans="1:4" ht="13.2">
      <c r="A470" s="17" t="s">
        <v>421</v>
      </c>
      <c r="B470" s="18">
        <v>270</v>
      </c>
      <c r="C470" s="904"/>
      <c r="D470" s="291"/>
    </row>
    <row r="471" spans="1:4" ht="13.2">
      <c r="A471" s="17" t="s">
        <v>422</v>
      </c>
      <c r="B471" s="18">
        <v>270</v>
      </c>
      <c r="C471" s="904"/>
      <c r="D471" s="291"/>
    </row>
    <row r="472" spans="1:4" ht="13.2">
      <c r="A472" s="17" t="s">
        <v>423</v>
      </c>
      <c r="B472" s="18">
        <v>270</v>
      </c>
      <c r="C472" s="904"/>
      <c r="D472" s="291"/>
    </row>
    <row r="473" spans="1:4" ht="13.2">
      <c r="A473" s="17" t="s">
        <v>424</v>
      </c>
      <c r="B473" s="18">
        <v>270</v>
      </c>
      <c r="C473" s="904"/>
      <c r="D473" s="291"/>
    </row>
    <row r="474" spans="1:4" ht="13.2">
      <c r="A474" s="17" t="s">
        <v>425</v>
      </c>
      <c r="B474" s="18">
        <v>270</v>
      </c>
      <c r="C474" s="904"/>
      <c r="D474" s="291"/>
    </row>
    <row r="475" spans="1:4" ht="13.2">
      <c r="A475" s="17" t="s">
        <v>426</v>
      </c>
      <c r="B475" s="18">
        <v>270</v>
      </c>
      <c r="C475" s="904"/>
      <c r="D475" s="291"/>
    </row>
    <row r="476" spans="1:4" ht="13.2">
      <c r="A476" s="17" t="s">
        <v>427</v>
      </c>
      <c r="B476" s="18">
        <v>270</v>
      </c>
      <c r="C476" s="904"/>
      <c r="D476" s="291"/>
    </row>
    <row r="477" spans="1:4" ht="13.2">
      <c r="A477" s="17" t="s">
        <v>428</v>
      </c>
      <c r="B477" s="18">
        <v>270</v>
      </c>
      <c r="C477" s="904"/>
      <c r="D477" s="291"/>
    </row>
    <row r="478" spans="1:4" ht="13.2">
      <c r="A478" s="17" t="s">
        <v>429</v>
      </c>
      <c r="B478" s="18">
        <v>270</v>
      </c>
      <c r="C478" s="904"/>
      <c r="D478" s="291"/>
    </row>
    <row r="479" spans="1:4" ht="13.2">
      <c r="A479" s="17" t="s">
        <v>430</v>
      </c>
      <c r="B479" s="18">
        <v>300</v>
      </c>
      <c r="C479" s="904"/>
      <c r="D479" s="291"/>
    </row>
    <row r="480" spans="1:4" ht="13.2">
      <c r="A480" s="17" t="s">
        <v>431</v>
      </c>
      <c r="B480" s="18">
        <v>300</v>
      </c>
      <c r="C480" s="904"/>
      <c r="D480" s="291"/>
    </row>
    <row r="481" spans="1:4" ht="13.2">
      <c r="A481" s="17" t="s">
        <v>432</v>
      </c>
      <c r="B481" s="18">
        <v>300</v>
      </c>
      <c r="C481" s="904"/>
      <c r="D481" s="291"/>
    </row>
    <row r="482" spans="1:4" ht="13.2">
      <c r="A482" s="17" t="s">
        <v>433</v>
      </c>
      <c r="B482" s="18">
        <v>300</v>
      </c>
      <c r="C482" s="904"/>
      <c r="D482" s="291"/>
    </row>
    <row r="483" spans="1:4" ht="13.2">
      <c r="A483" s="17" t="s">
        <v>434</v>
      </c>
      <c r="B483" s="18">
        <v>300</v>
      </c>
      <c r="C483" s="904"/>
      <c r="D483" s="291"/>
    </row>
    <row r="484" spans="1:4" ht="13.2">
      <c r="A484" s="17" t="s">
        <v>435</v>
      </c>
      <c r="B484" s="18">
        <v>300</v>
      </c>
      <c r="C484" s="904"/>
      <c r="D484" s="291"/>
    </row>
    <row r="485" spans="1:4" ht="13.2">
      <c r="A485" s="17" t="s">
        <v>436</v>
      </c>
      <c r="B485" s="18">
        <v>300</v>
      </c>
      <c r="C485" s="904"/>
      <c r="D485" s="291"/>
    </row>
    <row r="486" spans="1:4" ht="13.2">
      <c r="A486" s="17" t="s">
        <v>437</v>
      </c>
      <c r="B486" s="18">
        <v>300</v>
      </c>
      <c r="C486" s="904"/>
      <c r="D486" s="291"/>
    </row>
    <row r="487" spans="1:4" ht="13.2">
      <c r="A487" s="17" t="s">
        <v>438</v>
      </c>
      <c r="B487" s="18">
        <v>300</v>
      </c>
      <c r="C487" s="904"/>
      <c r="D487" s="291"/>
    </row>
    <row r="488" spans="1:4" ht="13.2">
      <c r="A488" s="17" t="s">
        <v>439</v>
      </c>
      <c r="B488" s="18">
        <v>300</v>
      </c>
      <c r="C488" s="904"/>
      <c r="D488" s="291"/>
    </row>
    <row r="489" spans="1:4" ht="13.2">
      <c r="A489" s="17" t="s">
        <v>440</v>
      </c>
      <c r="B489" s="18">
        <v>300</v>
      </c>
      <c r="C489" s="904"/>
      <c r="D489" s="291"/>
    </row>
    <row r="490" spans="1:4" ht="13.2">
      <c r="A490" s="17" t="s">
        <v>441</v>
      </c>
      <c r="B490" s="18">
        <v>300</v>
      </c>
      <c r="C490" s="904"/>
      <c r="D490" s="291"/>
    </row>
    <row r="491" spans="1:4" ht="13.2">
      <c r="A491" s="17" t="s">
        <v>442</v>
      </c>
      <c r="B491" s="18">
        <v>300</v>
      </c>
      <c r="C491" s="904"/>
      <c r="D491" s="291"/>
    </row>
    <row r="492" spans="1:4" ht="13.2">
      <c r="A492" s="17" t="s">
        <v>443</v>
      </c>
      <c r="B492" s="18">
        <v>300</v>
      </c>
      <c r="C492" s="904"/>
      <c r="D492" s="291"/>
    </row>
    <row r="493" spans="1:4" ht="13.2">
      <c r="A493" s="17" t="s">
        <v>444</v>
      </c>
      <c r="B493" s="18">
        <v>300</v>
      </c>
      <c r="C493" s="904"/>
      <c r="D493" s="291"/>
    </row>
    <row r="494" spans="1:4" ht="13.2">
      <c r="A494" s="17" t="s">
        <v>445</v>
      </c>
      <c r="B494" s="18">
        <v>300</v>
      </c>
      <c r="C494" s="904"/>
      <c r="D494" s="291"/>
    </row>
    <row r="495" spans="1:4" ht="13.2">
      <c r="A495" s="17" t="s">
        <v>446</v>
      </c>
      <c r="B495" s="18">
        <v>240</v>
      </c>
      <c r="C495" s="904"/>
      <c r="D495" s="291"/>
    </row>
    <row r="496" spans="1:4" ht="13.2">
      <c r="A496" s="17" t="s">
        <v>447</v>
      </c>
      <c r="B496" s="18">
        <v>240</v>
      </c>
      <c r="C496" s="904"/>
      <c r="D496" s="291"/>
    </row>
    <row r="497" spans="1:4" ht="13.2">
      <c r="A497" s="17" t="s">
        <v>448</v>
      </c>
      <c r="B497" s="18">
        <v>240</v>
      </c>
      <c r="C497" s="904"/>
      <c r="D497" s="291"/>
    </row>
    <row r="498" spans="1:4" ht="13.2">
      <c r="A498" s="17" t="s">
        <v>449</v>
      </c>
      <c r="B498" s="18">
        <v>240</v>
      </c>
      <c r="C498" s="904"/>
      <c r="D498" s="291"/>
    </row>
    <row r="499" spans="1:4" ht="13.2">
      <c r="A499" s="17" t="s">
        <v>450</v>
      </c>
      <c r="B499" s="18">
        <v>240</v>
      </c>
      <c r="C499" s="904"/>
      <c r="D499" s="291"/>
    </row>
    <row r="500" spans="1:4" ht="13.2">
      <c r="A500" s="17" t="s">
        <v>451</v>
      </c>
      <c r="B500" s="18">
        <v>240</v>
      </c>
      <c r="C500" s="904"/>
      <c r="D500" s="291"/>
    </row>
    <row r="501" spans="1:4" ht="13.2">
      <c r="A501" s="17" t="s">
        <v>452</v>
      </c>
      <c r="B501" s="18">
        <v>240</v>
      </c>
      <c r="C501" s="904"/>
      <c r="D501" s="291"/>
    </row>
    <row r="502" spans="1:4" ht="13.2">
      <c r="A502" s="17" t="s">
        <v>453</v>
      </c>
      <c r="B502" s="18">
        <v>240</v>
      </c>
      <c r="C502" s="904"/>
      <c r="D502" s="291"/>
    </row>
    <row r="503" spans="1:4" ht="13.2">
      <c r="A503" s="17" t="s">
        <v>454</v>
      </c>
      <c r="B503" s="18">
        <v>240</v>
      </c>
      <c r="C503" s="904"/>
      <c r="D503" s="291"/>
    </row>
    <row r="504" spans="1:4" ht="13.2">
      <c r="A504" s="17" t="s">
        <v>455</v>
      </c>
      <c r="B504" s="18">
        <v>240</v>
      </c>
      <c r="C504" s="904"/>
      <c r="D504" s="291"/>
    </row>
    <row r="505" spans="1:4" ht="13.2">
      <c r="A505" s="17" t="s">
        <v>456</v>
      </c>
      <c r="B505" s="18">
        <v>240</v>
      </c>
      <c r="C505" s="904"/>
      <c r="D505" s="291"/>
    </row>
    <row r="506" spans="1:4" ht="13.2">
      <c r="A506" s="17" t="s">
        <v>457</v>
      </c>
      <c r="B506" s="18">
        <v>240</v>
      </c>
      <c r="C506" s="904"/>
      <c r="D506" s="291"/>
    </row>
    <row r="507" spans="1:4" ht="13.2">
      <c r="A507" s="17" t="s">
        <v>458</v>
      </c>
      <c r="B507" s="18">
        <v>240</v>
      </c>
      <c r="C507" s="904"/>
      <c r="D507" s="291"/>
    </row>
    <row r="508" spans="1:4" ht="13.2">
      <c r="A508" s="17" t="s">
        <v>459</v>
      </c>
      <c r="B508" s="18">
        <v>240</v>
      </c>
      <c r="C508" s="904"/>
      <c r="D508" s="291"/>
    </row>
    <row r="509" spans="1:4" ht="13.2">
      <c r="A509" s="17" t="s">
        <v>460</v>
      </c>
      <c r="B509" s="18">
        <v>240</v>
      </c>
      <c r="C509" s="904"/>
      <c r="D509" s="291"/>
    </row>
    <row r="510" spans="1:4" ht="13.2">
      <c r="A510" s="17" t="s">
        <v>461</v>
      </c>
      <c r="B510" s="18">
        <v>240</v>
      </c>
      <c r="C510" s="904"/>
      <c r="D510" s="291"/>
    </row>
    <row r="511" spans="1:4" ht="13.2">
      <c r="A511" s="17" t="s">
        <v>462</v>
      </c>
      <c r="B511" s="18">
        <v>270</v>
      </c>
      <c r="C511" s="904"/>
      <c r="D511" s="291"/>
    </row>
    <row r="512" spans="1:4" ht="13.2">
      <c r="A512" s="17" t="s">
        <v>463</v>
      </c>
      <c r="B512" s="18">
        <v>270</v>
      </c>
      <c r="C512" s="904"/>
      <c r="D512" s="291"/>
    </row>
    <row r="513" spans="1:4" ht="13.2">
      <c r="A513" s="17" t="s">
        <v>464</v>
      </c>
      <c r="B513" s="18">
        <v>270</v>
      </c>
      <c r="C513" s="904"/>
      <c r="D513" s="291"/>
    </row>
    <row r="514" spans="1:4" ht="13.2">
      <c r="A514" s="17" t="s">
        <v>465</v>
      </c>
      <c r="B514" s="18">
        <v>270</v>
      </c>
      <c r="C514" s="904"/>
      <c r="D514" s="291"/>
    </row>
    <row r="515" spans="1:4" ht="13.2">
      <c r="A515" s="17" t="s">
        <v>466</v>
      </c>
      <c r="B515" s="18">
        <v>270</v>
      </c>
      <c r="C515" s="904"/>
      <c r="D515" s="291"/>
    </row>
    <row r="516" spans="1:4" ht="13.2">
      <c r="A516" s="17" t="s">
        <v>467</v>
      </c>
      <c r="B516" s="18">
        <v>270</v>
      </c>
      <c r="C516" s="904"/>
      <c r="D516" s="291"/>
    </row>
    <row r="517" spans="1:4" ht="13.2">
      <c r="A517" s="17" t="s">
        <v>468</v>
      </c>
      <c r="B517" s="18">
        <v>270</v>
      </c>
      <c r="C517" s="904"/>
      <c r="D517" s="291"/>
    </row>
    <row r="518" spans="1:4" ht="13.2">
      <c r="A518" s="17" t="s">
        <v>469</v>
      </c>
      <c r="B518" s="18">
        <v>270</v>
      </c>
      <c r="C518" s="904"/>
      <c r="D518" s="291"/>
    </row>
    <row r="519" spans="1:4" ht="13.2">
      <c r="A519" s="17" t="s">
        <v>470</v>
      </c>
      <c r="B519" s="18">
        <v>270</v>
      </c>
      <c r="C519" s="904"/>
      <c r="D519" s="291"/>
    </row>
    <row r="520" spans="1:4" ht="13.2">
      <c r="A520" s="17" t="s">
        <v>471</v>
      </c>
      <c r="B520" s="18">
        <v>270</v>
      </c>
      <c r="C520" s="904"/>
      <c r="D520" s="291"/>
    </row>
    <row r="521" spans="1:4" ht="13.2">
      <c r="A521" s="17" t="s">
        <v>472</v>
      </c>
      <c r="B521" s="18">
        <v>270</v>
      </c>
      <c r="C521" s="904"/>
      <c r="D521" s="291"/>
    </row>
    <row r="522" spans="1:4" ht="13.2">
      <c r="A522" s="17" t="s">
        <v>473</v>
      </c>
      <c r="B522" s="18">
        <v>270</v>
      </c>
      <c r="C522" s="904"/>
      <c r="D522" s="291"/>
    </row>
    <row r="523" spans="1:4" ht="13.2">
      <c r="A523" s="17" t="s">
        <v>474</v>
      </c>
      <c r="B523" s="18">
        <v>270</v>
      </c>
      <c r="C523" s="904"/>
      <c r="D523" s="291"/>
    </row>
    <row r="524" spans="1:4" ht="13.2">
      <c r="A524" s="17" t="s">
        <v>475</v>
      </c>
      <c r="B524" s="18">
        <v>270</v>
      </c>
      <c r="C524" s="904"/>
      <c r="D524" s="291"/>
    </row>
    <row r="525" spans="1:4" ht="13.2">
      <c r="A525" s="17" t="s">
        <v>476</v>
      </c>
      <c r="B525" s="18">
        <v>270</v>
      </c>
      <c r="C525" s="904"/>
      <c r="D525" s="291"/>
    </row>
    <row r="526" spans="1:4" ht="13.2">
      <c r="A526" s="17" t="s">
        <v>477</v>
      </c>
      <c r="B526" s="18">
        <v>270</v>
      </c>
      <c r="C526" s="904"/>
      <c r="D526" s="291"/>
    </row>
    <row r="527" spans="1:4" ht="13.2">
      <c r="A527" s="17" t="s">
        <v>478</v>
      </c>
      <c r="B527" s="18">
        <v>300</v>
      </c>
      <c r="C527" s="904"/>
      <c r="D527" s="291"/>
    </row>
    <row r="528" spans="1:4" ht="13.2">
      <c r="A528" s="17" t="s">
        <v>479</v>
      </c>
      <c r="B528" s="18">
        <v>300</v>
      </c>
      <c r="C528" s="904"/>
      <c r="D528" s="291"/>
    </row>
    <row r="529" spans="1:4" ht="13.2">
      <c r="A529" s="17" t="s">
        <v>480</v>
      </c>
      <c r="B529" s="18">
        <v>300</v>
      </c>
      <c r="C529" s="904"/>
      <c r="D529" s="291"/>
    </row>
    <row r="530" spans="1:4" ht="13.2">
      <c r="A530" s="17" t="s">
        <v>481</v>
      </c>
      <c r="B530" s="18">
        <v>300</v>
      </c>
      <c r="C530" s="904"/>
      <c r="D530" s="291"/>
    </row>
    <row r="531" spans="1:4" ht="13.2">
      <c r="A531" s="17" t="s">
        <v>482</v>
      </c>
      <c r="B531" s="18">
        <v>300</v>
      </c>
      <c r="C531" s="904"/>
      <c r="D531" s="291"/>
    </row>
    <row r="532" spans="1:4" ht="13.2">
      <c r="A532" s="17" t="s">
        <v>483</v>
      </c>
      <c r="B532" s="18">
        <v>300</v>
      </c>
      <c r="C532" s="904"/>
      <c r="D532" s="291"/>
    </row>
    <row r="533" spans="1:4" ht="13.2">
      <c r="A533" s="17" t="s">
        <v>484</v>
      </c>
      <c r="B533" s="18">
        <v>300</v>
      </c>
      <c r="C533" s="904"/>
      <c r="D533" s="291"/>
    </row>
    <row r="534" spans="1:4" ht="13.2">
      <c r="A534" s="17" t="s">
        <v>485</v>
      </c>
      <c r="B534" s="18">
        <v>300</v>
      </c>
      <c r="C534" s="904"/>
      <c r="D534" s="291"/>
    </row>
    <row r="535" spans="1:4" ht="13.2">
      <c r="A535" s="17" t="s">
        <v>486</v>
      </c>
      <c r="B535" s="18">
        <v>300</v>
      </c>
      <c r="C535" s="904"/>
      <c r="D535" s="291"/>
    </row>
    <row r="536" spans="1:4" ht="13.2">
      <c r="A536" s="17" t="s">
        <v>487</v>
      </c>
      <c r="B536" s="18">
        <v>300</v>
      </c>
      <c r="C536" s="904"/>
      <c r="D536" s="291"/>
    </row>
    <row r="537" spans="1:4" ht="13.2">
      <c r="A537" s="17" t="s">
        <v>488</v>
      </c>
      <c r="B537" s="18">
        <v>300</v>
      </c>
      <c r="C537" s="904"/>
      <c r="D537" s="291"/>
    </row>
    <row r="538" spans="1:4" ht="13.2">
      <c r="A538" s="17" t="s">
        <v>489</v>
      </c>
      <c r="B538" s="18">
        <v>300</v>
      </c>
      <c r="C538" s="904"/>
      <c r="D538" s="291"/>
    </row>
    <row r="539" spans="1:4" ht="13.2">
      <c r="A539" s="17" t="s">
        <v>490</v>
      </c>
      <c r="B539" s="18">
        <v>300</v>
      </c>
      <c r="C539" s="904"/>
      <c r="D539" s="291"/>
    </row>
    <row r="540" spans="1:4" ht="13.2">
      <c r="A540" s="17" t="s">
        <v>491</v>
      </c>
      <c r="B540" s="18">
        <v>300</v>
      </c>
      <c r="C540" s="904"/>
      <c r="D540" s="291"/>
    </row>
    <row r="541" spans="1:4" ht="13.2">
      <c r="A541" s="17" t="s">
        <v>492</v>
      </c>
      <c r="B541" s="18">
        <v>300</v>
      </c>
      <c r="C541" s="904"/>
      <c r="D541" s="291"/>
    </row>
    <row r="542" spans="1:4" ht="13.2">
      <c r="A542" s="17" t="s">
        <v>493</v>
      </c>
      <c r="B542" s="18">
        <v>300</v>
      </c>
      <c r="C542" s="904"/>
      <c r="D542" s="291"/>
    </row>
    <row r="543" spans="1:4" ht="13.2">
      <c r="A543" s="17" t="s">
        <v>1418</v>
      </c>
      <c r="B543" s="18">
        <v>330</v>
      </c>
      <c r="C543" s="904"/>
      <c r="D543" s="292"/>
    </row>
    <row r="544" spans="1:4" ht="13.2">
      <c r="A544" s="17" t="s">
        <v>1419</v>
      </c>
      <c r="B544" s="18">
        <v>330</v>
      </c>
      <c r="C544" s="904"/>
      <c r="D544" s="292"/>
    </row>
    <row r="545" spans="1:4" ht="13.2">
      <c r="A545" s="17" t="s">
        <v>1420</v>
      </c>
      <c r="B545" s="18">
        <v>330</v>
      </c>
      <c r="C545" s="904"/>
      <c r="D545" s="292"/>
    </row>
    <row r="546" spans="1:4" ht="13.2">
      <c r="A546" s="17" t="s">
        <v>1421</v>
      </c>
      <c r="B546" s="18">
        <v>330</v>
      </c>
      <c r="C546" s="904"/>
      <c r="D546" s="292"/>
    </row>
    <row r="547" spans="1:4" ht="13.2">
      <c r="A547" s="17" t="s">
        <v>1422</v>
      </c>
      <c r="B547" s="18">
        <v>330</v>
      </c>
      <c r="C547" s="904"/>
      <c r="D547" s="292"/>
    </row>
    <row r="548" spans="1:4" ht="13.2">
      <c r="A548" s="17" t="s">
        <v>1423</v>
      </c>
      <c r="B548" s="18">
        <v>330</v>
      </c>
      <c r="C548" s="904"/>
      <c r="D548" s="292"/>
    </row>
    <row r="549" spans="1:4" ht="13.2">
      <c r="A549" s="17" t="s">
        <v>1424</v>
      </c>
      <c r="B549" s="18">
        <v>330</v>
      </c>
      <c r="C549" s="904"/>
      <c r="D549" s="292"/>
    </row>
    <row r="550" spans="1:4" ht="13.2">
      <c r="A550" s="17" t="s">
        <v>1425</v>
      </c>
      <c r="B550" s="18">
        <v>330</v>
      </c>
      <c r="C550" s="904"/>
      <c r="D550" s="292"/>
    </row>
    <row r="551" spans="1:4" ht="13.2">
      <c r="A551" s="17" t="s">
        <v>1426</v>
      </c>
      <c r="B551" s="18">
        <v>330</v>
      </c>
      <c r="C551" s="904"/>
      <c r="D551" s="292"/>
    </row>
    <row r="552" spans="1:4" ht="13.2">
      <c r="A552" s="17" t="s">
        <v>1427</v>
      </c>
      <c r="B552" s="18">
        <v>330</v>
      </c>
      <c r="C552" s="904"/>
      <c r="D552" s="292"/>
    </row>
    <row r="553" spans="1:4" ht="13.2">
      <c r="A553" s="17" t="s">
        <v>1428</v>
      </c>
      <c r="B553" s="18">
        <v>330</v>
      </c>
      <c r="C553" s="904"/>
      <c r="D553" s="292"/>
    </row>
    <row r="554" spans="1:4" ht="13.2">
      <c r="A554" s="17" t="s">
        <v>1429</v>
      </c>
      <c r="B554" s="18">
        <v>330</v>
      </c>
      <c r="C554" s="904"/>
      <c r="D554" s="292"/>
    </row>
    <row r="555" spans="1:4" ht="13.2">
      <c r="A555" s="17" t="s">
        <v>1430</v>
      </c>
      <c r="B555" s="18">
        <v>330</v>
      </c>
      <c r="C555" s="904"/>
      <c r="D555" s="292"/>
    </row>
    <row r="556" spans="1:4" ht="13.2">
      <c r="A556" s="17" t="s">
        <v>1431</v>
      </c>
      <c r="B556" s="18">
        <v>330</v>
      </c>
      <c r="C556" s="904"/>
      <c r="D556" s="292"/>
    </row>
    <row r="557" spans="1:4" ht="13.2">
      <c r="A557" s="17" t="s">
        <v>1432</v>
      </c>
      <c r="B557" s="18">
        <v>330</v>
      </c>
      <c r="C557" s="904"/>
      <c r="D557" s="292"/>
    </row>
    <row r="558" spans="1:4" ht="13.2">
      <c r="A558" s="17" t="s">
        <v>1417</v>
      </c>
      <c r="B558" s="18">
        <v>330</v>
      </c>
      <c r="C558" s="904"/>
      <c r="D558" s="292"/>
    </row>
    <row r="559" spans="1:4" ht="13.2">
      <c r="A559" s="17" t="s">
        <v>494</v>
      </c>
      <c r="B559" s="18">
        <v>210</v>
      </c>
      <c r="C559" s="904"/>
      <c r="D559" s="291"/>
    </row>
    <row r="560" spans="1:4" ht="13.2">
      <c r="A560" s="17" t="s">
        <v>495</v>
      </c>
      <c r="B560" s="18">
        <v>210</v>
      </c>
      <c r="C560" s="904"/>
      <c r="D560" s="291"/>
    </row>
    <row r="561" spans="1:4" ht="13.2">
      <c r="A561" s="17" t="s">
        <v>496</v>
      </c>
      <c r="B561" s="18">
        <v>210</v>
      </c>
      <c r="C561" s="904"/>
      <c r="D561" s="291"/>
    </row>
    <row r="562" spans="1:4" ht="13.2">
      <c r="A562" s="17" t="s">
        <v>497</v>
      </c>
      <c r="B562" s="18">
        <v>210</v>
      </c>
      <c r="C562" s="904"/>
      <c r="D562" s="291"/>
    </row>
    <row r="563" spans="1:4" ht="13.2">
      <c r="A563" s="17" t="s">
        <v>498</v>
      </c>
      <c r="B563" s="18">
        <v>210</v>
      </c>
      <c r="C563" s="904"/>
      <c r="D563" s="291"/>
    </row>
    <row r="564" spans="1:4" ht="13.2">
      <c r="A564" s="17" t="s">
        <v>499</v>
      </c>
      <c r="B564" s="18">
        <v>210</v>
      </c>
      <c r="C564" s="904"/>
      <c r="D564" s="291"/>
    </row>
    <row r="565" spans="1:4" ht="13.2">
      <c r="A565" s="17" t="s">
        <v>500</v>
      </c>
      <c r="B565" s="18">
        <v>210</v>
      </c>
      <c r="C565" s="904"/>
      <c r="D565" s="291"/>
    </row>
    <row r="566" spans="1:4" ht="13.2">
      <c r="A566" s="17" t="s">
        <v>501</v>
      </c>
      <c r="B566" s="18">
        <v>210</v>
      </c>
      <c r="C566" s="904"/>
      <c r="D566" s="291"/>
    </row>
    <row r="567" spans="1:4" ht="13.2">
      <c r="A567" s="17" t="s">
        <v>502</v>
      </c>
      <c r="B567" s="18">
        <v>210</v>
      </c>
      <c r="C567" s="904"/>
      <c r="D567" s="291"/>
    </row>
    <row r="568" spans="1:4" ht="13.2">
      <c r="A568" s="17" t="s">
        <v>503</v>
      </c>
      <c r="B568" s="18">
        <v>210</v>
      </c>
      <c r="C568" s="904"/>
      <c r="D568" s="291"/>
    </row>
    <row r="569" spans="1:4" ht="13.2">
      <c r="A569" s="17" t="s">
        <v>504</v>
      </c>
      <c r="B569" s="18">
        <v>210</v>
      </c>
      <c r="C569" s="904"/>
      <c r="D569" s="291"/>
    </row>
    <row r="570" spans="1:4" ht="13.2">
      <c r="A570" s="17" t="s">
        <v>505</v>
      </c>
      <c r="B570" s="18">
        <v>210</v>
      </c>
      <c r="C570" s="904"/>
      <c r="D570" s="291"/>
    </row>
    <row r="571" spans="1:4" ht="13.2">
      <c r="A571" s="17" t="s">
        <v>506</v>
      </c>
      <c r="B571" s="18">
        <v>210</v>
      </c>
      <c r="C571" s="904"/>
      <c r="D571" s="291"/>
    </row>
    <row r="572" spans="1:4" ht="13.2">
      <c r="A572" s="17" t="s">
        <v>507</v>
      </c>
      <c r="B572" s="18">
        <v>210</v>
      </c>
      <c r="C572" s="904"/>
      <c r="D572" s="291"/>
    </row>
    <row r="573" spans="1:4" ht="13.2">
      <c r="A573" s="17" t="s">
        <v>508</v>
      </c>
      <c r="B573" s="18">
        <v>210</v>
      </c>
      <c r="C573" s="904"/>
      <c r="D573" s="291"/>
    </row>
    <row r="574" spans="1:4" ht="13.2">
      <c r="A574" s="17" t="s">
        <v>509</v>
      </c>
      <c r="B574" s="18">
        <v>210</v>
      </c>
      <c r="C574" s="904"/>
      <c r="D574" s="291"/>
    </row>
    <row r="575" spans="1:4" ht="13.2">
      <c r="A575" s="17" t="s">
        <v>510</v>
      </c>
      <c r="B575" s="18">
        <v>240</v>
      </c>
      <c r="C575" s="904"/>
      <c r="D575" s="291"/>
    </row>
    <row r="576" spans="1:4" ht="13.2">
      <c r="A576" s="17" t="s">
        <v>511</v>
      </c>
      <c r="B576" s="18">
        <v>240</v>
      </c>
      <c r="C576" s="904"/>
      <c r="D576" s="291"/>
    </row>
    <row r="577" spans="1:4" ht="13.2">
      <c r="A577" s="17" t="s">
        <v>512</v>
      </c>
      <c r="B577" s="18">
        <v>240</v>
      </c>
      <c r="C577" s="904"/>
      <c r="D577" s="291"/>
    </row>
    <row r="578" spans="1:4" ht="13.2">
      <c r="A578" s="17" t="s">
        <v>513</v>
      </c>
      <c r="B578" s="18">
        <v>240</v>
      </c>
      <c r="C578" s="904"/>
      <c r="D578" s="291"/>
    </row>
    <row r="579" spans="1:4" ht="13.2">
      <c r="A579" s="17" t="s">
        <v>514</v>
      </c>
      <c r="B579" s="18">
        <v>240</v>
      </c>
      <c r="C579" s="904"/>
      <c r="D579" s="291"/>
    </row>
    <row r="580" spans="1:4" ht="13.2">
      <c r="A580" s="17" t="s">
        <v>515</v>
      </c>
      <c r="B580" s="18">
        <v>240</v>
      </c>
      <c r="C580" s="904"/>
      <c r="D580" s="291"/>
    </row>
    <row r="581" spans="1:4" ht="13.2">
      <c r="A581" s="17" t="s">
        <v>516</v>
      </c>
      <c r="B581" s="18">
        <v>240</v>
      </c>
      <c r="C581" s="904"/>
      <c r="D581" s="291"/>
    </row>
    <row r="582" spans="1:4" ht="13.2">
      <c r="A582" s="17" t="s">
        <v>517</v>
      </c>
      <c r="B582" s="18">
        <v>240</v>
      </c>
      <c r="C582" s="904"/>
      <c r="D582" s="291"/>
    </row>
    <row r="583" spans="1:4" ht="13.2">
      <c r="A583" s="17" t="s">
        <v>518</v>
      </c>
      <c r="B583" s="18">
        <v>240</v>
      </c>
      <c r="C583" s="904"/>
      <c r="D583" s="291"/>
    </row>
    <row r="584" spans="1:4" ht="13.2">
      <c r="A584" s="17" t="s">
        <v>519</v>
      </c>
      <c r="B584" s="18">
        <v>240</v>
      </c>
      <c r="C584" s="904"/>
      <c r="D584" s="291"/>
    </row>
    <row r="585" spans="1:4" ht="13.2">
      <c r="A585" s="17" t="s">
        <v>520</v>
      </c>
      <c r="B585" s="18">
        <v>240</v>
      </c>
      <c r="C585" s="904"/>
      <c r="D585" s="291"/>
    </row>
    <row r="586" spans="1:4" ht="13.2">
      <c r="A586" s="17" t="s">
        <v>521</v>
      </c>
      <c r="B586" s="18">
        <v>240</v>
      </c>
      <c r="C586" s="904"/>
      <c r="D586" s="291"/>
    </row>
    <row r="587" spans="1:4" ht="13.2">
      <c r="A587" s="17" t="s">
        <v>522</v>
      </c>
      <c r="B587" s="18">
        <v>240</v>
      </c>
      <c r="C587" s="904"/>
      <c r="D587" s="291"/>
    </row>
    <row r="588" spans="1:4" ht="13.2">
      <c r="A588" s="17" t="s">
        <v>523</v>
      </c>
      <c r="B588" s="18">
        <v>240</v>
      </c>
      <c r="C588" s="904"/>
      <c r="D588" s="291"/>
    </row>
    <row r="589" spans="1:4" ht="13.2">
      <c r="A589" s="17" t="s">
        <v>524</v>
      </c>
      <c r="B589" s="18">
        <v>240</v>
      </c>
      <c r="C589" s="904"/>
      <c r="D589" s="291"/>
    </row>
    <row r="590" spans="1:4" ht="13.2">
      <c r="A590" s="17" t="s">
        <v>525</v>
      </c>
      <c r="B590" s="18">
        <v>240</v>
      </c>
      <c r="C590" s="904"/>
      <c r="D590" s="291"/>
    </row>
    <row r="591" spans="1:4" ht="13.2">
      <c r="A591" s="17" t="s">
        <v>526</v>
      </c>
      <c r="B591" s="18">
        <v>270</v>
      </c>
      <c r="C591" s="904"/>
      <c r="D591" s="291"/>
    </row>
    <row r="592" spans="1:4" ht="13.2">
      <c r="A592" s="17" t="s">
        <v>527</v>
      </c>
      <c r="B592" s="18">
        <v>270</v>
      </c>
      <c r="C592" s="904"/>
      <c r="D592" s="291"/>
    </row>
    <row r="593" spans="1:4" ht="13.2">
      <c r="A593" s="17" t="s">
        <v>528</v>
      </c>
      <c r="B593" s="18">
        <v>270</v>
      </c>
      <c r="C593" s="904"/>
      <c r="D593" s="291"/>
    </row>
    <row r="594" spans="1:4" ht="13.2">
      <c r="A594" s="17" t="s">
        <v>529</v>
      </c>
      <c r="B594" s="18">
        <v>270</v>
      </c>
      <c r="C594" s="904"/>
      <c r="D594" s="291"/>
    </row>
    <row r="595" spans="1:4" ht="13.2">
      <c r="A595" s="17" t="s">
        <v>530</v>
      </c>
      <c r="B595" s="18">
        <v>270</v>
      </c>
      <c r="C595" s="904"/>
      <c r="D595" s="291"/>
    </row>
    <row r="596" spans="1:4" ht="13.2">
      <c r="A596" s="17" t="s">
        <v>531</v>
      </c>
      <c r="B596" s="18">
        <v>270</v>
      </c>
      <c r="C596" s="904"/>
      <c r="D596" s="291"/>
    </row>
    <row r="597" spans="1:4" ht="13.2">
      <c r="A597" s="17" t="s">
        <v>532</v>
      </c>
      <c r="B597" s="18">
        <v>270</v>
      </c>
      <c r="C597" s="904"/>
      <c r="D597" s="291"/>
    </row>
    <row r="598" spans="1:4" ht="13.2">
      <c r="A598" s="17" t="s">
        <v>533</v>
      </c>
      <c r="B598" s="18">
        <v>270</v>
      </c>
      <c r="C598" s="904"/>
      <c r="D598" s="291"/>
    </row>
    <row r="599" spans="1:4" ht="13.2">
      <c r="A599" s="17" t="s">
        <v>534</v>
      </c>
      <c r="B599" s="18">
        <v>270</v>
      </c>
      <c r="C599" s="904"/>
      <c r="D599" s="291"/>
    </row>
    <row r="600" spans="1:4" ht="13.2">
      <c r="A600" s="17" t="s">
        <v>535</v>
      </c>
      <c r="B600" s="18">
        <v>270</v>
      </c>
      <c r="C600" s="904"/>
      <c r="D600" s="291"/>
    </row>
    <row r="601" spans="1:4" ht="13.2">
      <c r="A601" s="17" t="s">
        <v>536</v>
      </c>
      <c r="B601" s="18">
        <v>270</v>
      </c>
      <c r="C601" s="904"/>
      <c r="D601" s="291"/>
    </row>
    <row r="602" spans="1:4" ht="13.2">
      <c r="A602" s="17" t="s">
        <v>537</v>
      </c>
      <c r="B602" s="18">
        <v>270</v>
      </c>
      <c r="C602" s="904"/>
      <c r="D602" s="291"/>
    </row>
    <row r="603" spans="1:4" ht="13.2">
      <c r="A603" s="17" t="s">
        <v>538</v>
      </c>
      <c r="B603" s="18">
        <v>270</v>
      </c>
      <c r="C603" s="904"/>
      <c r="D603" s="291"/>
    </row>
    <row r="604" spans="1:4" ht="13.2">
      <c r="A604" s="17" t="s">
        <v>539</v>
      </c>
      <c r="B604" s="18">
        <v>270</v>
      </c>
      <c r="C604" s="904"/>
      <c r="D604" s="291"/>
    </row>
    <row r="605" spans="1:4" ht="13.2">
      <c r="A605" s="17" t="s">
        <v>540</v>
      </c>
      <c r="B605" s="18">
        <v>270</v>
      </c>
      <c r="C605" s="904"/>
      <c r="D605" s="291"/>
    </row>
    <row r="606" spans="1:4" ht="13.2">
      <c r="A606" s="17" t="s">
        <v>541</v>
      </c>
      <c r="B606" s="18">
        <v>270</v>
      </c>
      <c r="C606" s="904"/>
      <c r="D606" s="291"/>
    </row>
    <row r="607" spans="1:4" ht="13.2">
      <c r="A607" s="17" t="s">
        <v>542</v>
      </c>
      <c r="B607" s="18">
        <v>300</v>
      </c>
      <c r="C607" s="904"/>
      <c r="D607" s="291"/>
    </row>
    <row r="608" spans="1:4" ht="13.2">
      <c r="A608" s="17" t="s">
        <v>543</v>
      </c>
      <c r="B608" s="18">
        <v>300</v>
      </c>
      <c r="C608" s="904"/>
      <c r="D608" s="291"/>
    </row>
    <row r="609" spans="1:4" ht="13.2">
      <c r="A609" s="17" t="s">
        <v>544</v>
      </c>
      <c r="B609" s="18">
        <v>300</v>
      </c>
      <c r="C609" s="904"/>
      <c r="D609" s="291"/>
    </row>
    <row r="610" spans="1:4" ht="13.2">
      <c r="A610" s="17" t="s">
        <v>545</v>
      </c>
      <c r="B610" s="18">
        <v>300</v>
      </c>
      <c r="C610" s="904"/>
      <c r="D610" s="291"/>
    </row>
    <row r="611" spans="1:4" ht="13.2">
      <c r="A611" s="17" t="s">
        <v>546</v>
      </c>
      <c r="B611" s="18">
        <v>300</v>
      </c>
      <c r="C611" s="904"/>
      <c r="D611" s="291"/>
    </row>
    <row r="612" spans="1:4" ht="13.2">
      <c r="A612" s="17" t="s">
        <v>547</v>
      </c>
      <c r="B612" s="18">
        <v>300</v>
      </c>
      <c r="C612" s="904"/>
      <c r="D612" s="291"/>
    </row>
    <row r="613" spans="1:4" ht="13.2">
      <c r="A613" s="17" t="s">
        <v>548</v>
      </c>
      <c r="B613" s="18">
        <v>300</v>
      </c>
      <c r="C613" s="904"/>
      <c r="D613" s="291"/>
    </row>
    <row r="614" spans="1:4" ht="13.2">
      <c r="A614" s="17" t="s">
        <v>549</v>
      </c>
      <c r="B614" s="18">
        <v>300</v>
      </c>
      <c r="C614" s="904"/>
      <c r="D614" s="291"/>
    </row>
    <row r="615" spans="1:4" ht="13.2">
      <c r="A615" s="17" t="s">
        <v>550</v>
      </c>
      <c r="B615" s="18">
        <v>300</v>
      </c>
      <c r="C615" s="904"/>
      <c r="D615" s="291"/>
    </row>
    <row r="616" spans="1:4" ht="13.2">
      <c r="A616" s="17" t="s">
        <v>551</v>
      </c>
      <c r="B616" s="18">
        <v>300</v>
      </c>
      <c r="C616" s="904"/>
      <c r="D616" s="291"/>
    </row>
    <row r="617" spans="1:4" ht="13.2">
      <c r="A617" s="17" t="s">
        <v>552</v>
      </c>
      <c r="B617" s="18">
        <v>300</v>
      </c>
      <c r="C617" s="904"/>
      <c r="D617" s="291"/>
    </row>
    <row r="618" spans="1:4" ht="13.2">
      <c r="A618" s="17" t="s">
        <v>553</v>
      </c>
      <c r="B618" s="18">
        <v>300</v>
      </c>
      <c r="C618" s="904"/>
      <c r="D618" s="291"/>
    </row>
    <row r="619" spans="1:4" ht="13.2">
      <c r="A619" s="17" t="s">
        <v>554</v>
      </c>
      <c r="B619" s="18">
        <v>300</v>
      </c>
      <c r="C619" s="904"/>
      <c r="D619" s="291"/>
    </row>
    <row r="620" spans="1:4" ht="13.2">
      <c r="A620" s="17" t="s">
        <v>555</v>
      </c>
      <c r="B620" s="18">
        <v>300</v>
      </c>
      <c r="C620" s="904"/>
      <c r="D620" s="291"/>
    </row>
    <row r="621" spans="1:4" ht="13.2">
      <c r="A621" s="17" t="s">
        <v>556</v>
      </c>
      <c r="B621" s="18">
        <v>300</v>
      </c>
      <c r="C621" s="904"/>
      <c r="D621" s="291"/>
    </row>
    <row r="622" spans="1:4" ht="13.2">
      <c r="A622" s="17" t="s">
        <v>557</v>
      </c>
      <c r="B622" s="18">
        <v>300</v>
      </c>
      <c r="C622" s="904"/>
      <c r="D622" s="291"/>
    </row>
    <row r="623" spans="1:4" ht="13.2">
      <c r="A623" s="17" t="s">
        <v>558</v>
      </c>
      <c r="B623" s="18">
        <v>300</v>
      </c>
      <c r="C623" s="904"/>
      <c r="D623" s="291"/>
    </row>
    <row r="624" spans="1:4" ht="13.2">
      <c r="A624" s="17" t="s">
        <v>559</v>
      </c>
      <c r="B624" s="18">
        <v>300</v>
      </c>
      <c r="C624" s="904"/>
      <c r="D624" s="291"/>
    </row>
    <row r="625" spans="1:4" ht="13.2">
      <c r="A625" s="17" t="s">
        <v>560</v>
      </c>
      <c r="B625" s="18">
        <v>300</v>
      </c>
      <c r="C625" s="904"/>
      <c r="D625" s="291"/>
    </row>
    <row r="626" spans="1:4" ht="13.2">
      <c r="A626" s="17" t="s">
        <v>75</v>
      </c>
      <c r="B626" s="18">
        <v>300</v>
      </c>
      <c r="C626" s="904"/>
      <c r="D626" s="291"/>
    </row>
    <row r="627" spans="1:4" ht="13.2">
      <c r="A627" s="17" t="s">
        <v>561</v>
      </c>
      <c r="B627" s="18">
        <v>300</v>
      </c>
      <c r="C627" s="904"/>
      <c r="D627" s="291"/>
    </row>
    <row r="628" spans="1:4" ht="13.2">
      <c r="A628" s="17" t="s">
        <v>562</v>
      </c>
      <c r="B628" s="18">
        <v>300</v>
      </c>
      <c r="C628" s="904"/>
      <c r="D628" s="291"/>
    </row>
    <row r="629" spans="1:4" ht="13.2">
      <c r="A629" s="17" t="s">
        <v>563</v>
      </c>
      <c r="B629" s="18">
        <v>300</v>
      </c>
      <c r="C629" s="904"/>
      <c r="D629" s="291"/>
    </row>
    <row r="630" spans="1:4" ht="13.2">
      <c r="A630" s="17" t="s">
        <v>564</v>
      </c>
      <c r="B630" s="18">
        <v>300</v>
      </c>
      <c r="C630" s="904"/>
      <c r="D630" s="291"/>
    </row>
    <row r="631" spans="1:4" ht="13.2">
      <c r="A631" s="17" t="s">
        <v>565</v>
      </c>
      <c r="B631" s="18">
        <v>300</v>
      </c>
      <c r="C631" s="904"/>
      <c r="D631" s="291"/>
    </row>
    <row r="632" spans="1:4" ht="13.2">
      <c r="A632" s="17" t="s">
        <v>566</v>
      </c>
      <c r="B632" s="18">
        <v>300</v>
      </c>
      <c r="C632" s="904"/>
      <c r="D632" s="291"/>
    </row>
    <row r="633" spans="1:4" ht="13.2">
      <c r="A633" s="17" t="s">
        <v>567</v>
      </c>
      <c r="B633" s="18">
        <v>300</v>
      </c>
      <c r="C633" s="904"/>
      <c r="D633" s="291"/>
    </row>
    <row r="634" spans="1:4" ht="13.2">
      <c r="A634" s="17" t="s">
        <v>568</v>
      </c>
      <c r="B634" s="18">
        <v>300</v>
      </c>
      <c r="C634" s="904"/>
      <c r="D634" s="291"/>
    </row>
    <row r="635" spans="1:4" ht="13.2">
      <c r="A635" s="17" t="s">
        <v>569</v>
      </c>
      <c r="B635" s="18">
        <v>300</v>
      </c>
      <c r="C635" s="904"/>
      <c r="D635" s="291"/>
    </row>
    <row r="636" spans="1:4" ht="13.2">
      <c r="A636" s="17" t="s">
        <v>570</v>
      </c>
      <c r="B636" s="18">
        <v>300</v>
      </c>
      <c r="C636" s="904"/>
      <c r="D636" s="291"/>
    </row>
    <row r="637" spans="1:4" ht="13.2">
      <c r="A637" s="17" t="s">
        <v>571</v>
      </c>
      <c r="B637" s="18">
        <v>300</v>
      </c>
      <c r="C637" s="904"/>
      <c r="D637" s="291"/>
    </row>
    <row r="638" spans="1:4" ht="13.2">
      <c r="A638" s="17" t="s">
        <v>572</v>
      </c>
      <c r="B638" s="18">
        <v>300</v>
      </c>
      <c r="C638" s="904"/>
      <c r="D638" s="291"/>
    </row>
    <row r="639" spans="1:4" ht="13.2">
      <c r="A639" s="17" t="s">
        <v>573</v>
      </c>
      <c r="B639" s="18">
        <v>320</v>
      </c>
      <c r="C639" s="904"/>
      <c r="D639" s="291"/>
    </row>
    <row r="640" spans="1:4" ht="13.2">
      <c r="A640" s="17" t="s">
        <v>574</v>
      </c>
      <c r="B640" s="18">
        <v>320</v>
      </c>
      <c r="C640" s="904"/>
      <c r="D640" s="291"/>
    </row>
    <row r="641" spans="1:4" ht="13.2">
      <c r="A641" s="17" t="s">
        <v>575</v>
      </c>
      <c r="B641" s="18">
        <v>320</v>
      </c>
      <c r="C641" s="904"/>
      <c r="D641" s="291"/>
    </row>
    <row r="642" spans="1:4" ht="13.2">
      <c r="A642" s="17" t="s">
        <v>576</v>
      </c>
      <c r="B642" s="18">
        <v>320</v>
      </c>
      <c r="C642" s="904"/>
      <c r="D642" s="291"/>
    </row>
    <row r="643" spans="1:4" ht="13.2">
      <c r="A643" s="17" t="s">
        <v>577</v>
      </c>
      <c r="B643" s="18">
        <v>320</v>
      </c>
      <c r="C643" s="904"/>
      <c r="D643" s="291"/>
    </row>
    <row r="644" spans="1:4" ht="13.2">
      <c r="A644" s="17" t="s">
        <v>578</v>
      </c>
      <c r="B644" s="18">
        <v>320</v>
      </c>
      <c r="C644" s="904"/>
      <c r="D644" s="291"/>
    </row>
    <row r="645" spans="1:4" ht="13.2">
      <c r="A645" s="17" t="s">
        <v>579</v>
      </c>
      <c r="B645" s="18">
        <v>320</v>
      </c>
      <c r="C645" s="904"/>
      <c r="D645" s="291"/>
    </row>
    <row r="646" spans="1:4" ht="13.2">
      <c r="A646" s="17" t="s">
        <v>580</v>
      </c>
      <c r="B646" s="18">
        <v>320</v>
      </c>
      <c r="C646" s="904"/>
      <c r="D646" s="291"/>
    </row>
    <row r="647" spans="1:4" ht="13.2">
      <c r="A647" s="17" t="s">
        <v>581</v>
      </c>
      <c r="B647" s="18">
        <v>320</v>
      </c>
      <c r="C647" s="904"/>
      <c r="D647" s="291"/>
    </row>
    <row r="648" spans="1:4" ht="13.2">
      <c r="A648" s="17" t="s">
        <v>582</v>
      </c>
      <c r="B648" s="18">
        <v>320</v>
      </c>
      <c r="C648" s="904"/>
      <c r="D648" s="291"/>
    </row>
    <row r="649" spans="1:4" ht="13.2">
      <c r="A649" s="17" t="s">
        <v>583</v>
      </c>
      <c r="B649" s="18">
        <v>320</v>
      </c>
      <c r="C649" s="904"/>
      <c r="D649" s="291"/>
    </row>
    <row r="650" spans="1:4" ht="13.2">
      <c r="A650" s="17" t="s">
        <v>584</v>
      </c>
      <c r="B650" s="18">
        <v>320</v>
      </c>
      <c r="C650" s="904"/>
      <c r="D650" s="291"/>
    </row>
    <row r="651" spans="1:4" ht="13.2">
      <c r="A651" s="17" t="s">
        <v>585</v>
      </c>
      <c r="B651" s="18">
        <v>320</v>
      </c>
      <c r="C651" s="904"/>
      <c r="D651" s="291"/>
    </row>
    <row r="652" spans="1:4" ht="13.2">
      <c r="A652" s="17" t="s">
        <v>586</v>
      </c>
      <c r="B652" s="18">
        <v>320</v>
      </c>
      <c r="C652" s="904"/>
      <c r="D652" s="291"/>
    </row>
    <row r="653" spans="1:4" ht="13.2">
      <c r="A653" s="17" t="s">
        <v>587</v>
      </c>
      <c r="B653" s="18">
        <v>320</v>
      </c>
      <c r="C653" s="904"/>
      <c r="D653" s="291"/>
    </row>
    <row r="654" spans="1:4" ht="13.2">
      <c r="A654" s="17" t="s">
        <v>588</v>
      </c>
      <c r="B654" s="18">
        <v>320</v>
      </c>
      <c r="C654" s="904"/>
      <c r="D654" s="291"/>
    </row>
    <row r="655" spans="1:4" ht="13.2">
      <c r="A655" s="17" t="s">
        <v>589</v>
      </c>
      <c r="B655" s="18">
        <v>350</v>
      </c>
      <c r="C655" s="904"/>
      <c r="D655" s="291"/>
    </row>
    <row r="656" spans="1:4" ht="13.2">
      <c r="A656" s="17" t="s">
        <v>590</v>
      </c>
      <c r="B656" s="18">
        <v>350</v>
      </c>
      <c r="C656" s="904"/>
      <c r="D656" s="291"/>
    </row>
    <row r="657" spans="1:4" ht="13.2">
      <c r="A657" s="17" t="s">
        <v>591</v>
      </c>
      <c r="B657" s="18">
        <v>350</v>
      </c>
      <c r="C657" s="904"/>
      <c r="D657" s="291"/>
    </row>
    <row r="658" spans="1:4" ht="13.2">
      <c r="A658" s="17" t="s">
        <v>592</v>
      </c>
      <c r="B658" s="18">
        <v>350</v>
      </c>
      <c r="C658" s="904"/>
      <c r="D658" s="291"/>
    </row>
    <row r="659" spans="1:4" ht="13.2">
      <c r="A659" s="17" t="s">
        <v>593</v>
      </c>
      <c r="B659" s="18">
        <v>350</v>
      </c>
      <c r="C659" s="904"/>
      <c r="D659" s="291"/>
    </row>
    <row r="660" spans="1:4" ht="13.2">
      <c r="A660" s="17" t="s">
        <v>594</v>
      </c>
      <c r="B660" s="18">
        <v>350</v>
      </c>
      <c r="C660" s="904"/>
      <c r="D660" s="291"/>
    </row>
    <row r="661" spans="1:4" ht="13.2">
      <c r="A661" s="17" t="s">
        <v>595</v>
      </c>
      <c r="B661" s="18">
        <v>350</v>
      </c>
      <c r="C661" s="904"/>
      <c r="D661" s="291"/>
    </row>
    <row r="662" spans="1:4" ht="13.2">
      <c r="A662" s="17" t="s">
        <v>596</v>
      </c>
      <c r="B662" s="18">
        <v>350</v>
      </c>
      <c r="C662" s="904"/>
      <c r="D662" s="291"/>
    </row>
    <row r="663" spans="1:4" ht="13.2">
      <c r="A663" s="17" t="s">
        <v>597</v>
      </c>
      <c r="B663" s="18">
        <v>350</v>
      </c>
      <c r="C663" s="904"/>
      <c r="D663" s="291"/>
    </row>
    <row r="664" spans="1:4" ht="13.2">
      <c r="A664" s="17" t="s">
        <v>598</v>
      </c>
      <c r="B664" s="18">
        <v>350</v>
      </c>
      <c r="C664" s="904"/>
      <c r="D664" s="291"/>
    </row>
    <row r="665" spans="1:4" ht="13.2">
      <c r="A665" s="17" t="s">
        <v>599</v>
      </c>
      <c r="B665" s="18">
        <v>350</v>
      </c>
      <c r="C665" s="904"/>
      <c r="D665" s="291"/>
    </row>
    <row r="666" spans="1:4" ht="13.2">
      <c r="A666" s="17" t="s">
        <v>600</v>
      </c>
      <c r="B666" s="18">
        <v>350</v>
      </c>
      <c r="C666" s="904"/>
      <c r="D666" s="291"/>
    </row>
    <row r="667" spans="1:4" ht="13.2">
      <c r="A667" s="17" t="s">
        <v>601</v>
      </c>
      <c r="B667" s="18">
        <v>350</v>
      </c>
      <c r="C667" s="904"/>
      <c r="D667" s="291"/>
    </row>
    <row r="668" spans="1:4" ht="13.2">
      <c r="A668" s="17" t="s">
        <v>602</v>
      </c>
      <c r="B668" s="18">
        <v>350</v>
      </c>
      <c r="C668" s="904"/>
      <c r="D668" s="291"/>
    </row>
    <row r="669" spans="1:4" ht="13.2">
      <c r="A669" s="17" t="s">
        <v>603</v>
      </c>
      <c r="B669" s="18">
        <v>350</v>
      </c>
      <c r="C669" s="904"/>
      <c r="D669" s="291"/>
    </row>
    <row r="670" spans="1:4" ht="13.2">
      <c r="A670" s="17" t="s">
        <v>604</v>
      </c>
      <c r="B670" s="18">
        <v>350</v>
      </c>
      <c r="C670" s="904"/>
      <c r="D670" s="291"/>
    </row>
    <row r="671" spans="1:4" ht="13.2">
      <c r="A671" s="17" t="s">
        <v>605</v>
      </c>
      <c r="B671" s="18">
        <v>380</v>
      </c>
      <c r="C671" s="904"/>
      <c r="D671" s="291"/>
    </row>
    <row r="672" spans="1:4" ht="13.2">
      <c r="A672" s="17" t="s">
        <v>606</v>
      </c>
      <c r="B672" s="18">
        <v>380</v>
      </c>
      <c r="C672" s="904"/>
      <c r="D672" s="291"/>
    </row>
    <row r="673" spans="1:4" ht="13.2">
      <c r="A673" s="17" t="s">
        <v>607</v>
      </c>
      <c r="B673" s="18">
        <v>380</v>
      </c>
      <c r="C673" s="904"/>
      <c r="D673" s="291"/>
    </row>
    <row r="674" spans="1:4" ht="13.2">
      <c r="A674" s="17" t="s">
        <v>608</v>
      </c>
      <c r="B674" s="18">
        <v>380</v>
      </c>
      <c r="C674" s="904"/>
      <c r="D674" s="291"/>
    </row>
    <row r="675" spans="1:4" ht="13.2">
      <c r="A675" s="17" t="s">
        <v>609</v>
      </c>
      <c r="B675" s="18">
        <v>380</v>
      </c>
      <c r="C675" s="904"/>
      <c r="D675" s="291"/>
    </row>
    <row r="676" spans="1:4" ht="13.2">
      <c r="A676" s="17" t="s">
        <v>610</v>
      </c>
      <c r="B676" s="18">
        <v>380</v>
      </c>
      <c r="C676" s="904"/>
      <c r="D676" s="291"/>
    </row>
    <row r="677" spans="1:4" ht="13.2">
      <c r="A677" s="17" t="s">
        <v>611</v>
      </c>
      <c r="B677" s="18">
        <v>380</v>
      </c>
      <c r="C677" s="904"/>
      <c r="D677" s="291"/>
    </row>
    <row r="678" spans="1:4" ht="13.2">
      <c r="A678" s="17" t="s">
        <v>612</v>
      </c>
      <c r="B678" s="18">
        <v>380</v>
      </c>
      <c r="C678" s="904"/>
      <c r="D678" s="291"/>
    </row>
    <row r="679" spans="1:4" ht="13.2">
      <c r="A679" s="17" t="s">
        <v>613</v>
      </c>
      <c r="B679" s="18">
        <v>380</v>
      </c>
      <c r="C679" s="904"/>
      <c r="D679" s="291"/>
    </row>
    <row r="680" spans="1:4" ht="13.2">
      <c r="A680" s="17" t="s">
        <v>614</v>
      </c>
      <c r="B680" s="18">
        <v>380</v>
      </c>
      <c r="C680" s="904"/>
      <c r="D680" s="291"/>
    </row>
    <row r="681" spans="1:4" ht="13.2">
      <c r="A681" s="17" t="s">
        <v>615</v>
      </c>
      <c r="B681" s="18">
        <v>380</v>
      </c>
      <c r="C681" s="904"/>
      <c r="D681" s="291"/>
    </row>
    <row r="682" spans="1:4" ht="13.2">
      <c r="A682" s="17" t="s">
        <v>616</v>
      </c>
      <c r="B682" s="18">
        <v>380</v>
      </c>
      <c r="C682" s="904"/>
      <c r="D682" s="291"/>
    </row>
    <row r="683" spans="1:4" ht="13.2">
      <c r="A683" s="17" t="s">
        <v>617</v>
      </c>
      <c r="B683" s="18">
        <v>380</v>
      </c>
      <c r="C683" s="904"/>
      <c r="D683" s="291"/>
    </row>
    <row r="684" spans="1:4" ht="13.2">
      <c r="A684" s="17" t="s">
        <v>618</v>
      </c>
      <c r="B684" s="18">
        <v>380</v>
      </c>
      <c r="C684" s="904"/>
      <c r="D684" s="291"/>
    </row>
    <row r="685" spans="1:4" ht="13.2">
      <c r="A685" s="17" t="s">
        <v>619</v>
      </c>
      <c r="B685" s="18">
        <v>380</v>
      </c>
      <c r="C685" s="904"/>
      <c r="D685" s="291"/>
    </row>
    <row r="686" spans="1:4" ht="13.2">
      <c r="A686" s="17" t="s">
        <v>620</v>
      </c>
      <c r="B686" s="18">
        <v>380</v>
      </c>
      <c r="C686" s="904"/>
      <c r="D686" s="291"/>
    </row>
    <row r="687" spans="1:4" ht="13.2">
      <c r="A687" s="17" t="s">
        <v>621</v>
      </c>
      <c r="B687" s="18">
        <v>430</v>
      </c>
      <c r="C687" s="904"/>
      <c r="D687" s="291"/>
    </row>
    <row r="688" spans="1:4" ht="13.2">
      <c r="A688" s="17" t="s">
        <v>622</v>
      </c>
      <c r="B688" s="18">
        <v>430</v>
      </c>
      <c r="C688" s="904"/>
      <c r="D688" s="291"/>
    </row>
    <row r="689" spans="1:4" ht="13.2">
      <c r="A689" s="17" t="s">
        <v>623</v>
      </c>
      <c r="B689" s="18">
        <v>430</v>
      </c>
      <c r="C689" s="904"/>
      <c r="D689" s="291"/>
    </row>
    <row r="690" spans="1:4" ht="13.2">
      <c r="A690" s="17" t="s">
        <v>624</v>
      </c>
      <c r="B690" s="18">
        <v>430</v>
      </c>
      <c r="C690" s="904"/>
      <c r="D690" s="291"/>
    </row>
    <row r="691" spans="1:4" ht="13.2">
      <c r="A691" s="17" t="s">
        <v>625</v>
      </c>
      <c r="B691" s="18">
        <v>430</v>
      </c>
      <c r="C691" s="904"/>
      <c r="D691" s="291"/>
    </row>
    <row r="692" spans="1:4" ht="13.2">
      <c r="A692" s="17" t="s">
        <v>626</v>
      </c>
      <c r="B692" s="18">
        <v>430</v>
      </c>
      <c r="C692" s="904"/>
      <c r="D692" s="291"/>
    </row>
    <row r="693" spans="1:4" ht="13.2">
      <c r="A693" s="17" t="s">
        <v>627</v>
      </c>
      <c r="B693" s="18">
        <v>430</v>
      </c>
      <c r="C693" s="904"/>
      <c r="D693" s="291"/>
    </row>
    <row r="694" spans="1:4" ht="13.2">
      <c r="A694" s="17" t="s">
        <v>628</v>
      </c>
      <c r="B694" s="18">
        <v>430</v>
      </c>
      <c r="C694" s="904"/>
      <c r="D694" s="291"/>
    </row>
    <row r="695" spans="1:4" ht="13.2">
      <c r="A695" s="17" t="s">
        <v>629</v>
      </c>
      <c r="B695" s="18">
        <v>430</v>
      </c>
      <c r="C695" s="904"/>
      <c r="D695" s="291"/>
    </row>
    <row r="696" spans="1:4" ht="13.2">
      <c r="A696" s="17" t="s">
        <v>630</v>
      </c>
      <c r="B696" s="18">
        <v>430</v>
      </c>
      <c r="C696" s="904"/>
      <c r="D696" s="291"/>
    </row>
    <row r="697" spans="1:4" ht="13.2">
      <c r="A697" s="17" t="s">
        <v>631</v>
      </c>
      <c r="B697" s="18">
        <v>430</v>
      </c>
      <c r="C697" s="904"/>
      <c r="D697" s="291"/>
    </row>
    <row r="698" spans="1:4" ht="13.2">
      <c r="A698" s="17" t="s">
        <v>632</v>
      </c>
      <c r="B698" s="18">
        <v>430</v>
      </c>
      <c r="C698" s="904"/>
      <c r="D698" s="291"/>
    </row>
    <row r="699" spans="1:4" ht="13.2">
      <c r="A699" s="17" t="s">
        <v>633</v>
      </c>
      <c r="B699" s="18">
        <v>430</v>
      </c>
      <c r="C699" s="904"/>
      <c r="D699" s="291"/>
    </row>
    <row r="700" spans="1:4" ht="13.2">
      <c r="A700" s="17" t="s">
        <v>634</v>
      </c>
      <c r="B700" s="18">
        <v>430</v>
      </c>
      <c r="C700" s="904"/>
      <c r="D700" s="291"/>
    </row>
    <row r="701" spans="1:4" ht="13.2">
      <c r="A701" s="17" t="s">
        <v>635</v>
      </c>
      <c r="B701" s="18">
        <v>430</v>
      </c>
      <c r="C701" s="904"/>
      <c r="D701" s="291"/>
    </row>
    <row r="702" spans="1:4" ht="13.2">
      <c r="A702" s="17" t="s">
        <v>636</v>
      </c>
      <c r="B702" s="18">
        <v>430</v>
      </c>
      <c r="C702" s="904"/>
      <c r="D702" s="291"/>
    </row>
    <row r="703" spans="1:4" ht="13.2">
      <c r="A703" s="17" t="s">
        <v>637</v>
      </c>
      <c r="B703" s="18">
        <v>470</v>
      </c>
      <c r="C703" s="904"/>
      <c r="D703" s="291"/>
    </row>
    <row r="704" spans="1:4" ht="13.2">
      <c r="A704" s="17" t="s">
        <v>638</v>
      </c>
      <c r="B704" s="18">
        <v>470</v>
      </c>
      <c r="C704" s="904"/>
      <c r="D704" s="291"/>
    </row>
    <row r="705" spans="1:4" ht="13.2">
      <c r="A705" s="17" t="s">
        <v>639</v>
      </c>
      <c r="B705" s="18">
        <v>470</v>
      </c>
      <c r="C705" s="904"/>
      <c r="D705" s="291"/>
    </row>
    <row r="706" spans="1:4" ht="13.2">
      <c r="A706" s="17" t="s">
        <v>640</v>
      </c>
      <c r="B706" s="18">
        <v>470</v>
      </c>
      <c r="C706" s="904"/>
      <c r="D706" s="291"/>
    </row>
    <row r="707" spans="1:4" ht="13.2">
      <c r="A707" s="17" t="s">
        <v>641</v>
      </c>
      <c r="B707" s="18">
        <v>470</v>
      </c>
      <c r="C707" s="904"/>
      <c r="D707" s="291"/>
    </row>
    <row r="708" spans="1:4" ht="13.2">
      <c r="A708" s="17" t="s">
        <v>642</v>
      </c>
      <c r="B708" s="18">
        <v>470</v>
      </c>
      <c r="C708" s="904"/>
      <c r="D708" s="291"/>
    </row>
    <row r="709" spans="1:4" ht="13.2">
      <c r="A709" s="17" t="s">
        <v>643</v>
      </c>
      <c r="B709" s="18">
        <v>470</v>
      </c>
      <c r="C709" s="904"/>
      <c r="D709" s="291"/>
    </row>
    <row r="710" spans="1:4" ht="13.2">
      <c r="A710" s="17" t="s">
        <v>644</v>
      </c>
      <c r="B710" s="18">
        <v>470</v>
      </c>
      <c r="C710" s="904"/>
      <c r="D710" s="291"/>
    </row>
    <row r="711" spans="1:4" ht="13.2">
      <c r="A711" s="17" t="s">
        <v>645</v>
      </c>
      <c r="B711" s="18">
        <v>470</v>
      </c>
      <c r="C711" s="904"/>
      <c r="D711" s="291"/>
    </row>
    <row r="712" spans="1:4" ht="13.2">
      <c r="A712" s="17" t="s">
        <v>646</v>
      </c>
      <c r="B712" s="18">
        <v>470</v>
      </c>
      <c r="C712" s="904"/>
      <c r="D712" s="291"/>
    </row>
    <row r="713" spans="1:4" ht="13.2">
      <c r="A713" s="17" t="s">
        <v>647</v>
      </c>
      <c r="B713" s="18">
        <v>470</v>
      </c>
      <c r="C713" s="904"/>
      <c r="D713" s="291"/>
    </row>
    <row r="714" spans="1:4" ht="13.2">
      <c r="A714" s="17" t="s">
        <v>648</v>
      </c>
      <c r="B714" s="18">
        <v>470</v>
      </c>
      <c r="C714" s="904"/>
      <c r="D714" s="291"/>
    </row>
    <row r="715" spans="1:4" ht="13.2">
      <c r="A715" s="17" t="s">
        <v>649</v>
      </c>
      <c r="B715" s="18">
        <v>470</v>
      </c>
      <c r="C715" s="904"/>
      <c r="D715" s="291"/>
    </row>
    <row r="716" spans="1:4" ht="13.2">
      <c r="A716" s="17" t="s">
        <v>650</v>
      </c>
      <c r="B716" s="18">
        <v>470</v>
      </c>
      <c r="C716" s="904"/>
      <c r="D716" s="291"/>
    </row>
    <row r="717" spans="1:4" ht="13.2">
      <c r="A717" s="17" t="s">
        <v>651</v>
      </c>
      <c r="B717" s="18">
        <v>470</v>
      </c>
      <c r="C717" s="904"/>
      <c r="D717" s="291"/>
    </row>
    <row r="718" spans="1:4" ht="13.2">
      <c r="A718" s="17" t="s">
        <v>652</v>
      </c>
      <c r="B718" s="18">
        <v>470</v>
      </c>
      <c r="C718" s="904"/>
      <c r="D718" s="291"/>
    </row>
    <row r="719" spans="1:4" ht="13.2">
      <c r="A719" s="17" t="s">
        <v>653</v>
      </c>
      <c r="B719" s="18">
        <v>520</v>
      </c>
      <c r="C719" s="904"/>
      <c r="D719" s="291"/>
    </row>
    <row r="720" spans="1:4" ht="13.2">
      <c r="A720" s="17" t="s">
        <v>654</v>
      </c>
      <c r="B720" s="18">
        <v>520</v>
      </c>
      <c r="C720" s="904"/>
      <c r="D720" s="291"/>
    </row>
    <row r="721" spans="1:4" ht="13.2">
      <c r="A721" s="17" t="s">
        <v>655</v>
      </c>
      <c r="B721" s="18">
        <v>520</v>
      </c>
      <c r="C721" s="904"/>
      <c r="D721" s="291"/>
    </row>
    <row r="722" spans="1:4" ht="13.2">
      <c r="A722" s="17" t="s">
        <v>656</v>
      </c>
      <c r="B722" s="18">
        <v>520</v>
      </c>
      <c r="C722" s="904"/>
      <c r="D722" s="291"/>
    </row>
    <row r="723" spans="1:4" ht="13.2">
      <c r="A723" s="17" t="s">
        <v>657</v>
      </c>
      <c r="B723" s="18">
        <v>520</v>
      </c>
      <c r="C723" s="904"/>
      <c r="D723" s="291"/>
    </row>
    <row r="724" spans="1:4" ht="13.2">
      <c r="A724" s="17" t="s">
        <v>658</v>
      </c>
      <c r="B724" s="18">
        <v>520</v>
      </c>
      <c r="C724" s="904"/>
      <c r="D724" s="291"/>
    </row>
    <row r="725" spans="1:4" ht="13.2">
      <c r="A725" s="17" t="s">
        <v>659</v>
      </c>
      <c r="B725" s="18">
        <v>520</v>
      </c>
      <c r="C725" s="904"/>
      <c r="D725" s="291"/>
    </row>
    <row r="726" spans="1:4" ht="13.2">
      <c r="A726" s="17" t="s">
        <v>660</v>
      </c>
      <c r="B726" s="18">
        <v>520</v>
      </c>
      <c r="C726" s="904"/>
      <c r="D726" s="291"/>
    </row>
    <row r="727" spans="1:4" ht="13.2">
      <c r="A727" s="17" t="s">
        <v>661</v>
      </c>
      <c r="B727" s="18">
        <v>520</v>
      </c>
      <c r="C727" s="904"/>
      <c r="D727" s="291"/>
    </row>
    <row r="728" spans="1:4" ht="13.2">
      <c r="A728" s="17" t="s">
        <v>662</v>
      </c>
      <c r="B728" s="18">
        <v>520</v>
      </c>
      <c r="C728" s="904"/>
      <c r="D728" s="291"/>
    </row>
    <row r="729" spans="1:4" ht="13.2">
      <c r="A729" s="17" t="s">
        <v>663</v>
      </c>
      <c r="B729" s="18">
        <v>520</v>
      </c>
      <c r="C729" s="904"/>
      <c r="D729" s="291"/>
    </row>
    <row r="730" spans="1:4" ht="13.2">
      <c r="A730" s="17" t="s">
        <v>664</v>
      </c>
      <c r="B730" s="18">
        <v>520</v>
      </c>
      <c r="C730" s="904"/>
      <c r="D730" s="291"/>
    </row>
    <row r="731" spans="1:4" ht="13.2">
      <c r="A731" s="17" t="s">
        <v>665</v>
      </c>
      <c r="B731" s="18">
        <v>520</v>
      </c>
      <c r="C731" s="904"/>
      <c r="D731" s="291"/>
    </row>
    <row r="732" spans="1:4" ht="13.2">
      <c r="A732" s="17" t="s">
        <v>666</v>
      </c>
      <c r="B732" s="18">
        <v>520</v>
      </c>
      <c r="C732" s="904"/>
      <c r="D732" s="291"/>
    </row>
    <row r="733" spans="1:4" ht="13.2">
      <c r="A733" s="17" t="s">
        <v>667</v>
      </c>
      <c r="B733" s="18">
        <v>520</v>
      </c>
      <c r="C733" s="904"/>
      <c r="D733" s="291"/>
    </row>
    <row r="734" spans="1:4" ht="13.2">
      <c r="A734" s="17" t="s">
        <v>668</v>
      </c>
      <c r="B734" s="18">
        <v>520</v>
      </c>
      <c r="C734" s="904"/>
      <c r="D734" s="291"/>
    </row>
    <row r="735" spans="1:4" ht="13.2">
      <c r="A735" s="17" t="s">
        <v>669</v>
      </c>
      <c r="B735" s="18">
        <v>580</v>
      </c>
      <c r="C735" s="904"/>
      <c r="D735" s="291"/>
    </row>
    <row r="736" spans="1:4" ht="13.2">
      <c r="A736" s="17" t="s">
        <v>670</v>
      </c>
      <c r="B736" s="18">
        <v>580</v>
      </c>
      <c r="C736" s="904"/>
      <c r="D736" s="291"/>
    </row>
    <row r="737" spans="1:4" ht="13.2">
      <c r="A737" s="17" t="s">
        <v>671</v>
      </c>
      <c r="B737" s="18">
        <v>580</v>
      </c>
      <c r="C737" s="904"/>
      <c r="D737" s="291"/>
    </row>
    <row r="738" spans="1:4" ht="13.2">
      <c r="A738" s="17" t="s">
        <v>672</v>
      </c>
      <c r="B738" s="18">
        <v>580</v>
      </c>
      <c r="C738" s="904"/>
      <c r="D738" s="291"/>
    </row>
    <row r="739" spans="1:4" ht="13.2">
      <c r="A739" s="17" t="s">
        <v>673</v>
      </c>
      <c r="B739" s="18">
        <v>580</v>
      </c>
      <c r="C739" s="904"/>
      <c r="D739" s="291"/>
    </row>
    <row r="740" spans="1:4" ht="13.2">
      <c r="A740" s="17" t="s">
        <v>674</v>
      </c>
      <c r="B740" s="18">
        <v>580</v>
      </c>
      <c r="C740" s="904"/>
      <c r="D740" s="291"/>
    </row>
    <row r="741" spans="1:4" ht="13.2">
      <c r="A741" s="17" t="s">
        <v>675</v>
      </c>
      <c r="B741" s="18">
        <v>580</v>
      </c>
      <c r="C741" s="904"/>
      <c r="D741" s="291"/>
    </row>
    <row r="742" spans="1:4" ht="13.2">
      <c r="A742" s="17" t="s">
        <v>676</v>
      </c>
      <c r="B742" s="18">
        <v>580</v>
      </c>
      <c r="C742" s="904"/>
      <c r="D742" s="291"/>
    </row>
    <row r="743" spans="1:4" ht="13.2">
      <c r="A743" s="17" t="s">
        <v>677</v>
      </c>
      <c r="B743" s="18">
        <v>580</v>
      </c>
      <c r="C743" s="904"/>
      <c r="D743" s="291"/>
    </row>
    <row r="744" spans="1:4" ht="13.2">
      <c r="A744" s="17" t="s">
        <v>678</v>
      </c>
      <c r="B744" s="18">
        <v>580</v>
      </c>
      <c r="C744" s="904"/>
      <c r="D744" s="291"/>
    </row>
    <row r="745" spans="1:4" ht="13.2">
      <c r="A745" s="17" t="s">
        <v>679</v>
      </c>
      <c r="B745" s="18">
        <v>580</v>
      </c>
      <c r="C745" s="904"/>
      <c r="D745" s="291"/>
    </row>
    <row r="746" spans="1:4" ht="13.2">
      <c r="A746" s="17" t="s">
        <v>680</v>
      </c>
      <c r="B746" s="18">
        <v>580</v>
      </c>
      <c r="C746" s="904"/>
      <c r="D746" s="291"/>
    </row>
    <row r="747" spans="1:4" ht="13.2">
      <c r="A747" s="17" t="s">
        <v>681</v>
      </c>
      <c r="B747" s="18">
        <v>580</v>
      </c>
      <c r="C747" s="904"/>
      <c r="D747" s="291"/>
    </row>
    <row r="748" spans="1:4" ht="13.2">
      <c r="A748" s="17" t="s">
        <v>682</v>
      </c>
      <c r="B748" s="18">
        <v>580</v>
      </c>
      <c r="C748" s="904"/>
      <c r="D748" s="291"/>
    </row>
    <row r="749" spans="1:4" ht="13.2">
      <c r="A749" s="17" t="s">
        <v>683</v>
      </c>
      <c r="B749" s="18">
        <v>580</v>
      </c>
      <c r="C749" s="904"/>
      <c r="D749" s="291"/>
    </row>
    <row r="750" spans="1:4" ht="13.2">
      <c r="A750" s="17" t="s">
        <v>684</v>
      </c>
      <c r="B750" s="18">
        <v>580</v>
      </c>
      <c r="C750" s="904"/>
      <c r="D750" s="291"/>
    </row>
    <row r="751" spans="1:4" ht="13.2">
      <c r="A751" s="17" t="s">
        <v>1270</v>
      </c>
      <c r="B751" s="18">
        <v>300</v>
      </c>
      <c r="C751" s="904"/>
      <c r="D751" s="293"/>
    </row>
    <row r="752" spans="1:4" ht="13.2">
      <c r="A752" s="17" t="s">
        <v>1271</v>
      </c>
      <c r="B752" s="18">
        <v>300</v>
      </c>
      <c r="C752" s="904"/>
      <c r="D752" s="293"/>
    </row>
    <row r="753" spans="1:4" ht="13.2">
      <c r="A753" s="17" t="s">
        <v>1272</v>
      </c>
      <c r="B753" s="18">
        <v>300</v>
      </c>
      <c r="C753" s="904"/>
      <c r="D753" s="293"/>
    </row>
    <row r="754" spans="1:4" ht="13.2">
      <c r="A754" s="17" t="s">
        <v>1273</v>
      </c>
      <c r="B754" s="18">
        <v>300</v>
      </c>
      <c r="C754" s="904"/>
      <c r="D754" s="293"/>
    </row>
    <row r="755" spans="1:4" ht="13.2">
      <c r="A755" s="17" t="s">
        <v>1274</v>
      </c>
      <c r="B755" s="18">
        <v>300</v>
      </c>
      <c r="C755" s="904"/>
      <c r="D755" s="293"/>
    </row>
    <row r="756" spans="1:4" ht="13.2">
      <c r="A756" s="17" t="s">
        <v>1275</v>
      </c>
      <c r="B756" s="18">
        <v>300</v>
      </c>
      <c r="C756" s="904"/>
      <c r="D756" s="293"/>
    </row>
    <row r="757" spans="1:4" ht="13.2">
      <c r="A757" s="17" t="s">
        <v>1276</v>
      </c>
      <c r="B757" s="18">
        <v>300</v>
      </c>
      <c r="C757" s="904"/>
      <c r="D757" s="293"/>
    </row>
    <row r="758" spans="1:4" ht="13.2">
      <c r="A758" s="17" t="s">
        <v>1277</v>
      </c>
      <c r="B758" s="18">
        <v>300</v>
      </c>
      <c r="C758" s="904"/>
      <c r="D758" s="293"/>
    </row>
    <row r="759" spans="1:4" ht="13.2">
      <c r="A759" s="17" t="s">
        <v>1278</v>
      </c>
      <c r="B759" s="18">
        <v>300</v>
      </c>
      <c r="C759" s="904"/>
      <c r="D759" s="293"/>
    </row>
    <row r="760" spans="1:4" ht="13.2">
      <c r="A760" s="17" t="s">
        <v>1279</v>
      </c>
      <c r="B760" s="18">
        <v>300</v>
      </c>
      <c r="C760" s="904"/>
      <c r="D760" s="293"/>
    </row>
    <row r="761" spans="1:4" ht="13.2">
      <c r="A761" s="17" t="s">
        <v>1280</v>
      </c>
      <c r="B761" s="18">
        <v>300</v>
      </c>
      <c r="C761" s="904"/>
      <c r="D761" s="293"/>
    </row>
    <row r="762" spans="1:4" ht="13.2">
      <c r="A762" s="17" t="s">
        <v>1281</v>
      </c>
      <c r="B762" s="18">
        <v>300</v>
      </c>
      <c r="C762" s="904"/>
      <c r="D762" s="293"/>
    </row>
    <row r="763" spans="1:4" ht="13.2">
      <c r="A763" s="17" t="s">
        <v>1282</v>
      </c>
      <c r="B763" s="18">
        <v>300</v>
      </c>
      <c r="C763" s="904"/>
      <c r="D763" s="293"/>
    </row>
    <row r="764" spans="1:4" ht="13.2">
      <c r="A764" s="17" t="s">
        <v>1283</v>
      </c>
      <c r="B764" s="18">
        <v>300</v>
      </c>
      <c r="C764" s="904"/>
      <c r="D764" s="293"/>
    </row>
    <row r="765" spans="1:4" ht="13.2">
      <c r="A765" s="17" t="s">
        <v>1284</v>
      </c>
      <c r="B765" s="18">
        <v>300</v>
      </c>
      <c r="C765" s="904"/>
      <c r="D765" s="293"/>
    </row>
    <row r="766" spans="1:4" ht="13.2">
      <c r="A766" s="17" t="s">
        <v>1264</v>
      </c>
      <c r="B766" s="18">
        <v>300</v>
      </c>
      <c r="C766" s="904"/>
      <c r="D766" s="293"/>
    </row>
    <row r="767" spans="1:4" ht="13.2">
      <c r="A767" s="17" t="s">
        <v>1285</v>
      </c>
      <c r="B767" s="18">
        <v>320</v>
      </c>
      <c r="C767" s="904"/>
      <c r="D767" s="293"/>
    </row>
    <row r="768" spans="1:4" ht="13.2">
      <c r="A768" s="17" t="s">
        <v>1286</v>
      </c>
      <c r="B768" s="18">
        <v>320</v>
      </c>
      <c r="C768" s="904"/>
      <c r="D768" s="293"/>
    </row>
    <row r="769" spans="1:4" ht="13.2">
      <c r="A769" s="17" t="s">
        <v>1287</v>
      </c>
      <c r="B769" s="18">
        <v>320</v>
      </c>
      <c r="C769" s="904"/>
      <c r="D769" s="293"/>
    </row>
    <row r="770" spans="1:4" ht="13.2">
      <c r="A770" s="17" t="s">
        <v>1288</v>
      </c>
      <c r="B770" s="18">
        <v>320</v>
      </c>
      <c r="C770" s="904"/>
      <c r="D770" s="293"/>
    </row>
    <row r="771" spans="1:4" ht="13.2">
      <c r="A771" s="17" t="s">
        <v>1289</v>
      </c>
      <c r="B771" s="18">
        <v>320</v>
      </c>
      <c r="C771" s="904"/>
      <c r="D771" s="293"/>
    </row>
    <row r="772" spans="1:4" ht="13.2">
      <c r="A772" s="17" t="s">
        <v>1290</v>
      </c>
      <c r="B772" s="18">
        <v>320</v>
      </c>
      <c r="C772" s="904"/>
      <c r="D772" s="293"/>
    </row>
    <row r="773" spans="1:4" ht="13.2">
      <c r="A773" s="17" t="s">
        <v>1291</v>
      </c>
      <c r="B773" s="18">
        <v>320</v>
      </c>
      <c r="C773" s="904"/>
      <c r="D773" s="293"/>
    </row>
    <row r="774" spans="1:4" ht="13.2">
      <c r="A774" s="17" t="s">
        <v>1292</v>
      </c>
      <c r="B774" s="18">
        <v>320</v>
      </c>
      <c r="C774" s="904"/>
      <c r="D774" s="293"/>
    </row>
    <row r="775" spans="1:4" ht="13.2">
      <c r="A775" s="17" t="s">
        <v>1293</v>
      </c>
      <c r="B775" s="18">
        <v>320</v>
      </c>
      <c r="C775" s="904"/>
      <c r="D775" s="293"/>
    </row>
    <row r="776" spans="1:4" ht="13.2">
      <c r="A776" s="17" t="s">
        <v>1294</v>
      </c>
      <c r="B776" s="18">
        <v>320</v>
      </c>
      <c r="C776" s="904"/>
      <c r="D776" s="293"/>
    </row>
    <row r="777" spans="1:4" ht="13.2">
      <c r="A777" s="17" t="s">
        <v>1295</v>
      </c>
      <c r="B777" s="18">
        <v>320</v>
      </c>
      <c r="C777" s="904"/>
      <c r="D777" s="293"/>
    </row>
    <row r="778" spans="1:4" ht="13.2">
      <c r="A778" s="17" t="s">
        <v>1296</v>
      </c>
      <c r="B778" s="18">
        <v>320</v>
      </c>
      <c r="C778" s="904"/>
      <c r="D778" s="293"/>
    </row>
    <row r="779" spans="1:4" ht="13.2">
      <c r="A779" s="17" t="s">
        <v>1297</v>
      </c>
      <c r="B779" s="18">
        <v>320</v>
      </c>
      <c r="C779" s="904"/>
      <c r="D779" s="293"/>
    </row>
    <row r="780" spans="1:4" ht="13.2">
      <c r="A780" s="17" t="s">
        <v>1298</v>
      </c>
      <c r="B780" s="18">
        <v>320</v>
      </c>
      <c r="C780" s="904"/>
      <c r="D780" s="293"/>
    </row>
    <row r="781" spans="1:4" ht="13.2">
      <c r="A781" s="17" t="s">
        <v>1299</v>
      </c>
      <c r="B781" s="18">
        <v>320</v>
      </c>
      <c r="C781" s="904"/>
      <c r="D781" s="293"/>
    </row>
    <row r="782" spans="1:4" ht="13.2">
      <c r="A782" s="17" t="s">
        <v>1265</v>
      </c>
      <c r="B782" s="18">
        <v>320</v>
      </c>
      <c r="C782" s="904"/>
      <c r="D782" s="293"/>
    </row>
    <row r="783" spans="1:4" ht="13.2">
      <c r="A783" s="17" t="s">
        <v>1300</v>
      </c>
      <c r="B783" s="18">
        <v>350</v>
      </c>
      <c r="C783" s="904"/>
      <c r="D783" s="293"/>
    </row>
    <row r="784" spans="1:4" ht="13.2">
      <c r="A784" s="17" t="s">
        <v>1301</v>
      </c>
      <c r="B784" s="18">
        <v>350</v>
      </c>
      <c r="C784" s="904"/>
      <c r="D784" s="293"/>
    </row>
    <row r="785" spans="1:4" ht="13.2">
      <c r="A785" s="17" t="s">
        <v>1302</v>
      </c>
      <c r="B785" s="18">
        <v>350</v>
      </c>
      <c r="C785" s="904"/>
      <c r="D785" s="293"/>
    </row>
    <row r="786" spans="1:4" ht="13.2">
      <c r="A786" s="17" t="s">
        <v>1303</v>
      </c>
      <c r="B786" s="18">
        <v>350</v>
      </c>
      <c r="C786" s="904"/>
      <c r="D786" s="293"/>
    </row>
    <row r="787" spans="1:4" ht="13.2">
      <c r="A787" s="17" t="s">
        <v>1304</v>
      </c>
      <c r="B787" s="18">
        <v>350</v>
      </c>
      <c r="C787" s="904"/>
      <c r="D787" s="293"/>
    </row>
    <row r="788" spans="1:4" ht="13.2">
      <c r="A788" s="17" t="s">
        <v>1305</v>
      </c>
      <c r="B788" s="18">
        <v>350</v>
      </c>
      <c r="C788" s="904"/>
      <c r="D788" s="293"/>
    </row>
    <row r="789" spans="1:4" ht="13.2">
      <c r="A789" s="17" t="s">
        <v>1306</v>
      </c>
      <c r="B789" s="18">
        <v>350</v>
      </c>
      <c r="C789" s="904"/>
      <c r="D789" s="293"/>
    </row>
    <row r="790" spans="1:4" ht="13.2">
      <c r="A790" s="17" t="s">
        <v>1307</v>
      </c>
      <c r="B790" s="18">
        <v>350</v>
      </c>
      <c r="C790" s="904"/>
      <c r="D790" s="293"/>
    </row>
    <row r="791" spans="1:4" ht="13.2">
      <c r="A791" s="17" t="s">
        <v>1308</v>
      </c>
      <c r="B791" s="18">
        <v>350</v>
      </c>
      <c r="C791" s="904"/>
      <c r="D791" s="293"/>
    </row>
    <row r="792" spans="1:4" ht="13.2">
      <c r="A792" s="17" t="s">
        <v>1309</v>
      </c>
      <c r="B792" s="18">
        <v>350</v>
      </c>
      <c r="C792" s="904"/>
      <c r="D792" s="293"/>
    </row>
    <row r="793" spans="1:4" ht="13.2">
      <c r="A793" s="17" t="s">
        <v>1310</v>
      </c>
      <c r="B793" s="18">
        <v>350</v>
      </c>
      <c r="C793" s="904"/>
      <c r="D793" s="293"/>
    </row>
    <row r="794" spans="1:4" ht="13.2">
      <c r="A794" s="17" t="s">
        <v>1311</v>
      </c>
      <c r="B794" s="18">
        <v>350</v>
      </c>
      <c r="C794" s="904"/>
      <c r="D794" s="293"/>
    </row>
    <row r="795" spans="1:4" ht="13.2">
      <c r="A795" s="17" t="s">
        <v>1312</v>
      </c>
      <c r="B795" s="18">
        <v>350</v>
      </c>
      <c r="C795" s="904"/>
      <c r="D795" s="293"/>
    </row>
    <row r="796" spans="1:4" ht="13.2">
      <c r="A796" s="17" t="s">
        <v>1313</v>
      </c>
      <c r="B796" s="18">
        <v>350</v>
      </c>
      <c r="C796" s="904"/>
      <c r="D796" s="293"/>
    </row>
    <row r="797" spans="1:4" ht="13.2">
      <c r="A797" s="17" t="s">
        <v>1314</v>
      </c>
      <c r="B797" s="18">
        <v>350</v>
      </c>
      <c r="C797" s="904"/>
      <c r="D797" s="293"/>
    </row>
    <row r="798" spans="1:4" ht="13.2">
      <c r="A798" s="17" t="s">
        <v>1266</v>
      </c>
      <c r="B798" s="18">
        <v>350</v>
      </c>
      <c r="C798" s="904"/>
      <c r="D798" s="293"/>
    </row>
    <row r="799" spans="1:4" ht="13.2">
      <c r="A799" s="17" t="s">
        <v>685</v>
      </c>
      <c r="B799" s="18">
        <v>380</v>
      </c>
      <c r="C799" s="904"/>
      <c r="D799" s="291"/>
    </row>
    <row r="800" spans="1:4" ht="13.2">
      <c r="A800" s="17" t="s">
        <v>686</v>
      </c>
      <c r="B800" s="18">
        <v>380</v>
      </c>
      <c r="C800" s="904"/>
      <c r="D800" s="291"/>
    </row>
    <row r="801" spans="1:4" ht="13.2">
      <c r="A801" s="17" t="s">
        <v>687</v>
      </c>
      <c r="B801" s="18">
        <v>380</v>
      </c>
      <c r="C801" s="904"/>
      <c r="D801" s="291"/>
    </row>
    <row r="802" spans="1:4" ht="13.2">
      <c r="A802" s="17" t="s">
        <v>688</v>
      </c>
      <c r="B802" s="18">
        <v>380</v>
      </c>
      <c r="C802" s="904"/>
      <c r="D802" s="291"/>
    </row>
    <row r="803" spans="1:4" ht="13.2">
      <c r="A803" s="17" t="s">
        <v>689</v>
      </c>
      <c r="B803" s="18">
        <v>380</v>
      </c>
      <c r="C803" s="904"/>
      <c r="D803" s="291"/>
    </row>
    <row r="804" spans="1:4" ht="13.2">
      <c r="A804" s="17" t="s">
        <v>690</v>
      </c>
      <c r="B804" s="18">
        <v>380</v>
      </c>
      <c r="C804" s="904"/>
      <c r="D804" s="291"/>
    </row>
    <row r="805" spans="1:4" ht="13.2">
      <c r="A805" s="17" t="s">
        <v>691</v>
      </c>
      <c r="B805" s="18">
        <v>380</v>
      </c>
      <c r="C805" s="904"/>
      <c r="D805" s="291"/>
    </row>
    <row r="806" spans="1:4" ht="13.2">
      <c r="A806" s="17" t="s">
        <v>692</v>
      </c>
      <c r="B806" s="18">
        <v>380</v>
      </c>
      <c r="C806" s="904"/>
      <c r="D806" s="291"/>
    </row>
    <row r="807" spans="1:4" ht="13.2">
      <c r="A807" s="17" t="s">
        <v>693</v>
      </c>
      <c r="B807" s="18">
        <v>380</v>
      </c>
      <c r="C807" s="904"/>
      <c r="D807" s="291"/>
    </row>
    <row r="808" spans="1:4" ht="13.2">
      <c r="A808" s="17" t="s">
        <v>694</v>
      </c>
      <c r="B808" s="18">
        <v>380</v>
      </c>
      <c r="C808" s="904"/>
      <c r="D808" s="291"/>
    </row>
    <row r="809" spans="1:4" ht="13.2">
      <c r="A809" s="17" t="s">
        <v>695</v>
      </c>
      <c r="B809" s="18">
        <v>380</v>
      </c>
      <c r="C809" s="904"/>
      <c r="D809" s="291"/>
    </row>
    <row r="810" spans="1:4" ht="13.2">
      <c r="A810" s="17" t="s">
        <v>696</v>
      </c>
      <c r="B810" s="18">
        <v>380</v>
      </c>
      <c r="C810" s="904"/>
      <c r="D810" s="291"/>
    </row>
    <row r="811" spans="1:4" ht="13.2">
      <c r="A811" s="17" t="s">
        <v>697</v>
      </c>
      <c r="B811" s="18">
        <v>380</v>
      </c>
      <c r="C811" s="904"/>
      <c r="D811" s="291"/>
    </row>
    <row r="812" spans="1:4" ht="13.2">
      <c r="A812" s="17" t="s">
        <v>698</v>
      </c>
      <c r="B812" s="18">
        <v>380</v>
      </c>
      <c r="C812" s="904"/>
      <c r="D812" s="291"/>
    </row>
    <row r="813" spans="1:4" ht="13.2">
      <c r="A813" s="17" t="s">
        <v>699</v>
      </c>
      <c r="B813" s="18">
        <v>380</v>
      </c>
      <c r="C813" s="904"/>
      <c r="D813" s="291"/>
    </row>
    <row r="814" spans="1:4" ht="13.2">
      <c r="A814" s="17" t="s">
        <v>700</v>
      </c>
      <c r="B814" s="18">
        <v>380</v>
      </c>
      <c r="C814" s="904"/>
      <c r="D814" s="291"/>
    </row>
    <row r="815" spans="1:4" ht="13.2">
      <c r="A815" s="17" t="s">
        <v>701</v>
      </c>
      <c r="B815" s="18">
        <v>440</v>
      </c>
      <c r="C815" s="904"/>
      <c r="D815" s="291"/>
    </row>
    <row r="816" spans="1:4" ht="13.2">
      <c r="A816" s="17" t="s">
        <v>702</v>
      </c>
      <c r="B816" s="18">
        <v>440</v>
      </c>
      <c r="C816" s="904"/>
      <c r="D816" s="291"/>
    </row>
    <row r="817" spans="1:4" ht="13.2">
      <c r="A817" s="17" t="s">
        <v>703</v>
      </c>
      <c r="B817" s="18">
        <v>440</v>
      </c>
      <c r="C817" s="904"/>
      <c r="D817" s="291"/>
    </row>
    <row r="818" spans="1:4" ht="13.2">
      <c r="A818" s="17" t="s">
        <v>704</v>
      </c>
      <c r="B818" s="18">
        <v>440</v>
      </c>
      <c r="C818" s="904"/>
      <c r="D818" s="291"/>
    </row>
    <row r="819" spans="1:4" ht="13.2">
      <c r="A819" s="17" t="s">
        <v>705</v>
      </c>
      <c r="B819" s="18">
        <v>440</v>
      </c>
      <c r="C819" s="904"/>
      <c r="D819" s="291"/>
    </row>
    <row r="820" spans="1:4" ht="13.2">
      <c r="A820" s="17" t="s">
        <v>706</v>
      </c>
      <c r="B820" s="18">
        <v>440</v>
      </c>
      <c r="C820" s="904"/>
      <c r="D820" s="291"/>
    </row>
    <row r="821" spans="1:4" ht="13.2">
      <c r="A821" s="17" t="s">
        <v>707</v>
      </c>
      <c r="B821" s="18">
        <v>440</v>
      </c>
      <c r="C821" s="904"/>
      <c r="D821" s="291"/>
    </row>
    <row r="822" spans="1:4" ht="13.2">
      <c r="A822" s="17" t="s">
        <v>708</v>
      </c>
      <c r="B822" s="18">
        <v>440</v>
      </c>
      <c r="C822" s="904"/>
      <c r="D822" s="291"/>
    </row>
    <row r="823" spans="1:4" ht="13.2">
      <c r="A823" s="17" t="s">
        <v>709</v>
      </c>
      <c r="B823" s="18">
        <v>440</v>
      </c>
      <c r="C823" s="904"/>
      <c r="D823" s="291"/>
    </row>
    <row r="824" spans="1:4" ht="13.2">
      <c r="A824" s="17" t="s">
        <v>710</v>
      </c>
      <c r="B824" s="18">
        <v>440</v>
      </c>
      <c r="C824" s="904"/>
      <c r="D824" s="291"/>
    </row>
    <row r="825" spans="1:4" ht="13.2">
      <c r="A825" s="17" t="s">
        <v>711</v>
      </c>
      <c r="B825" s="18">
        <v>440</v>
      </c>
      <c r="C825" s="904"/>
      <c r="D825" s="291"/>
    </row>
    <row r="826" spans="1:4" ht="13.2">
      <c r="A826" s="17" t="s">
        <v>712</v>
      </c>
      <c r="B826" s="18">
        <v>440</v>
      </c>
      <c r="C826" s="904"/>
      <c r="D826" s="291"/>
    </row>
    <row r="827" spans="1:4" ht="13.2">
      <c r="A827" s="17" t="s">
        <v>713</v>
      </c>
      <c r="B827" s="18">
        <v>440</v>
      </c>
      <c r="C827" s="904"/>
      <c r="D827" s="291"/>
    </row>
    <row r="828" spans="1:4" ht="13.2">
      <c r="A828" s="17" t="s">
        <v>714</v>
      </c>
      <c r="B828" s="18">
        <v>440</v>
      </c>
      <c r="C828" s="904"/>
      <c r="D828" s="291"/>
    </row>
    <row r="829" spans="1:4" ht="13.2">
      <c r="A829" s="17" t="s">
        <v>715</v>
      </c>
      <c r="B829" s="18">
        <v>440</v>
      </c>
      <c r="C829" s="904"/>
      <c r="D829" s="291"/>
    </row>
    <row r="830" spans="1:4" ht="13.2">
      <c r="A830" s="17" t="s">
        <v>716</v>
      </c>
      <c r="B830" s="18">
        <v>440</v>
      </c>
      <c r="C830" s="904"/>
      <c r="D830" s="291"/>
    </row>
    <row r="831" spans="1:4" ht="13.2">
      <c r="A831" s="17" t="s">
        <v>1315</v>
      </c>
      <c r="B831" s="18">
        <v>480</v>
      </c>
      <c r="C831" s="904"/>
      <c r="D831" s="292"/>
    </row>
    <row r="832" spans="1:4" ht="13.2">
      <c r="A832" s="17" t="s">
        <v>1316</v>
      </c>
      <c r="B832" s="18">
        <v>480</v>
      </c>
      <c r="C832" s="904"/>
      <c r="D832" s="292"/>
    </row>
    <row r="833" spans="1:4" ht="13.2">
      <c r="A833" s="17" t="s">
        <v>1317</v>
      </c>
      <c r="B833" s="18">
        <v>480</v>
      </c>
      <c r="C833" s="904"/>
      <c r="D833" s="292"/>
    </row>
    <row r="834" spans="1:4" ht="13.2">
      <c r="A834" s="17" t="s">
        <v>1318</v>
      </c>
      <c r="B834" s="18">
        <v>480</v>
      </c>
      <c r="C834" s="904"/>
      <c r="D834" s="292"/>
    </row>
    <row r="835" spans="1:4" ht="13.2">
      <c r="A835" s="17" t="s">
        <v>1319</v>
      </c>
      <c r="B835" s="18">
        <v>480</v>
      </c>
      <c r="C835" s="904"/>
      <c r="D835" s="292"/>
    </row>
    <row r="836" spans="1:4" ht="13.2">
      <c r="A836" s="17" t="s">
        <v>1320</v>
      </c>
      <c r="B836" s="18">
        <v>480</v>
      </c>
      <c r="C836" s="904"/>
      <c r="D836" s="292"/>
    </row>
    <row r="837" spans="1:4" ht="13.2">
      <c r="A837" s="17" t="s">
        <v>1321</v>
      </c>
      <c r="B837" s="18">
        <v>480</v>
      </c>
      <c r="C837" s="904"/>
      <c r="D837" s="292"/>
    </row>
    <row r="838" spans="1:4" ht="13.2">
      <c r="A838" s="17" t="s">
        <v>1322</v>
      </c>
      <c r="B838" s="18">
        <v>480</v>
      </c>
      <c r="C838" s="904"/>
      <c r="D838" s="292"/>
    </row>
    <row r="839" spans="1:4" ht="13.2">
      <c r="A839" s="17" t="s">
        <v>1323</v>
      </c>
      <c r="B839" s="18">
        <v>480</v>
      </c>
      <c r="C839" s="904"/>
      <c r="D839" s="292"/>
    </row>
    <row r="840" spans="1:4" ht="13.2">
      <c r="A840" s="17" t="s">
        <v>1324</v>
      </c>
      <c r="B840" s="18">
        <v>480</v>
      </c>
      <c r="C840" s="904"/>
      <c r="D840" s="292"/>
    </row>
    <row r="841" spans="1:4" ht="13.2">
      <c r="A841" s="17" t="s">
        <v>1325</v>
      </c>
      <c r="B841" s="18">
        <v>480</v>
      </c>
      <c r="C841" s="904"/>
      <c r="D841" s="292"/>
    </row>
    <row r="842" spans="1:4" ht="13.2">
      <c r="A842" s="17" t="s">
        <v>1326</v>
      </c>
      <c r="B842" s="18">
        <v>480</v>
      </c>
      <c r="C842" s="904"/>
      <c r="D842" s="292"/>
    </row>
    <row r="843" spans="1:4" ht="13.2">
      <c r="A843" s="17" t="s">
        <v>1327</v>
      </c>
      <c r="B843" s="18">
        <v>480</v>
      </c>
      <c r="C843" s="904"/>
      <c r="D843" s="292"/>
    </row>
    <row r="844" spans="1:4" ht="13.2">
      <c r="A844" s="17" t="s">
        <v>1328</v>
      </c>
      <c r="B844" s="18">
        <v>480</v>
      </c>
      <c r="C844" s="904"/>
      <c r="D844" s="292"/>
    </row>
    <row r="845" spans="1:4" ht="13.2">
      <c r="A845" s="17" t="s">
        <v>1329</v>
      </c>
      <c r="B845" s="18">
        <v>480</v>
      </c>
      <c r="C845" s="904"/>
      <c r="D845" s="292"/>
    </row>
    <row r="846" spans="1:4" ht="13.2">
      <c r="A846" s="17" t="s">
        <v>1267</v>
      </c>
      <c r="B846" s="18">
        <v>480</v>
      </c>
      <c r="C846" s="904"/>
      <c r="D846" s="292"/>
    </row>
    <row r="847" spans="1:4" ht="13.2">
      <c r="A847" s="17" t="s">
        <v>717</v>
      </c>
      <c r="B847" s="18">
        <v>520</v>
      </c>
      <c r="C847" s="904"/>
      <c r="D847" s="291"/>
    </row>
    <row r="848" spans="1:4" ht="13.2">
      <c r="A848" s="17" t="s">
        <v>718</v>
      </c>
      <c r="B848" s="18">
        <v>520</v>
      </c>
      <c r="C848" s="904"/>
      <c r="D848" s="291"/>
    </row>
    <row r="849" spans="1:4" ht="13.2">
      <c r="A849" s="17" t="s">
        <v>719</v>
      </c>
      <c r="B849" s="18">
        <v>520</v>
      </c>
      <c r="C849" s="904"/>
      <c r="D849" s="291"/>
    </row>
    <row r="850" spans="1:4" ht="13.2">
      <c r="A850" s="17" t="s">
        <v>720</v>
      </c>
      <c r="B850" s="18">
        <v>520</v>
      </c>
      <c r="C850" s="904"/>
      <c r="D850" s="291"/>
    </row>
    <row r="851" spans="1:4" ht="13.2">
      <c r="A851" s="17" t="s">
        <v>721</v>
      </c>
      <c r="B851" s="18">
        <v>520</v>
      </c>
      <c r="C851" s="904"/>
      <c r="D851" s="291"/>
    </row>
    <row r="852" spans="1:4" ht="13.2">
      <c r="A852" s="17" t="s">
        <v>722</v>
      </c>
      <c r="B852" s="18">
        <v>520</v>
      </c>
      <c r="C852" s="904"/>
      <c r="D852" s="291"/>
    </row>
    <row r="853" spans="1:4" ht="13.2">
      <c r="A853" s="17" t="s">
        <v>723</v>
      </c>
      <c r="B853" s="18">
        <v>520</v>
      </c>
      <c r="C853" s="904"/>
      <c r="D853" s="291"/>
    </row>
    <row r="854" spans="1:4" ht="13.2">
      <c r="A854" s="17" t="s">
        <v>724</v>
      </c>
      <c r="B854" s="18">
        <v>520</v>
      </c>
      <c r="C854" s="904"/>
      <c r="D854" s="291"/>
    </row>
    <row r="855" spans="1:4" ht="13.2">
      <c r="A855" s="17" t="s">
        <v>725</v>
      </c>
      <c r="B855" s="18">
        <v>520</v>
      </c>
      <c r="C855" s="904"/>
      <c r="D855" s="291"/>
    </row>
    <row r="856" spans="1:4" ht="13.2">
      <c r="A856" s="17" t="s">
        <v>726</v>
      </c>
      <c r="B856" s="18">
        <v>520</v>
      </c>
      <c r="C856" s="904"/>
      <c r="D856" s="291"/>
    </row>
    <row r="857" spans="1:4" ht="13.2">
      <c r="A857" s="17" t="s">
        <v>727</v>
      </c>
      <c r="B857" s="18">
        <v>520</v>
      </c>
      <c r="C857" s="904"/>
      <c r="D857" s="291"/>
    </row>
    <row r="858" spans="1:4" ht="13.2">
      <c r="A858" s="17" t="s">
        <v>728</v>
      </c>
      <c r="B858" s="18">
        <v>520</v>
      </c>
      <c r="C858" s="904"/>
      <c r="D858" s="291"/>
    </row>
    <row r="859" spans="1:4" ht="13.2">
      <c r="A859" s="17" t="s">
        <v>729</v>
      </c>
      <c r="B859" s="18">
        <v>520</v>
      </c>
      <c r="C859" s="904"/>
      <c r="D859" s="291"/>
    </row>
    <row r="860" spans="1:4" ht="13.2">
      <c r="A860" s="17" t="s">
        <v>730</v>
      </c>
      <c r="B860" s="18">
        <v>520</v>
      </c>
      <c r="C860" s="904"/>
      <c r="D860" s="291"/>
    </row>
    <row r="861" spans="1:4" ht="13.2">
      <c r="A861" s="17" t="s">
        <v>731</v>
      </c>
      <c r="B861" s="18">
        <v>520</v>
      </c>
      <c r="C861" s="904"/>
      <c r="D861" s="291"/>
    </row>
    <row r="862" spans="1:4" ht="13.2">
      <c r="A862" s="17" t="s">
        <v>732</v>
      </c>
      <c r="B862" s="18">
        <v>520</v>
      </c>
      <c r="C862" s="904"/>
      <c r="D862" s="291"/>
    </row>
    <row r="863" spans="1:4" ht="13.2">
      <c r="A863" s="17" t="s">
        <v>733</v>
      </c>
      <c r="B863" s="18">
        <v>560</v>
      </c>
      <c r="C863" s="904"/>
      <c r="D863" s="291"/>
    </row>
    <row r="864" spans="1:4" ht="13.2">
      <c r="A864" s="17" t="s">
        <v>734</v>
      </c>
      <c r="B864" s="18">
        <v>560</v>
      </c>
      <c r="C864" s="904"/>
      <c r="D864" s="291"/>
    </row>
    <row r="865" spans="1:4" ht="13.2">
      <c r="A865" s="17" t="s">
        <v>735</v>
      </c>
      <c r="B865" s="18">
        <v>560</v>
      </c>
      <c r="C865" s="904"/>
      <c r="D865" s="291"/>
    </row>
    <row r="866" spans="1:4" ht="13.2">
      <c r="A866" s="17" t="s">
        <v>736</v>
      </c>
      <c r="B866" s="18">
        <v>560</v>
      </c>
      <c r="C866" s="904"/>
      <c r="D866" s="291"/>
    </row>
    <row r="867" spans="1:4" ht="13.2">
      <c r="A867" s="17" t="s">
        <v>737</v>
      </c>
      <c r="B867" s="18">
        <v>560</v>
      </c>
      <c r="C867" s="904"/>
      <c r="D867" s="291"/>
    </row>
    <row r="868" spans="1:4" ht="13.2">
      <c r="A868" s="17" t="s">
        <v>738</v>
      </c>
      <c r="B868" s="18">
        <v>560</v>
      </c>
      <c r="C868" s="904"/>
      <c r="D868" s="291"/>
    </row>
    <row r="869" spans="1:4" ht="13.2">
      <c r="A869" s="17" t="s">
        <v>739</v>
      </c>
      <c r="B869" s="18">
        <v>560</v>
      </c>
      <c r="C869" s="904"/>
      <c r="D869" s="291"/>
    </row>
    <row r="870" spans="1:4" ht="13.2">
      <c r="A870" s="17" t="s">
        <v>740</v>
      </c>
      <c r="B870" s="18">
        <v>560</v>
      </c>
      <c r="C870" s="904"/>
      <c r="D870" s="291"/>
    </row>
    <row r="871" spans="1:4" ht="13.2">
      <c r="A871" s="17" t="s">
        <v>741</v>
      </c>
      <c r="B871" s="18">
        <v>560</v>
      </c>
      <c r="C871" s="904"/>
      <c r="D871" s="291"/>
    </row>
    <row r="872" spans="1:4" ht="13.2">
      <c r="A872" s="17" t="s">
        <v>742</v>
      </c>
      <c r="B872" s="18">
        <v>560</v>
      </c>
      <c r="C872" s="904"/>
      <c r="D872" s="291"/>
    </row>
    <row r="873" spans="1:4" ht="13.2">
      <c r="A873" s="17" t="s">
        <v>743</v>
      </c>
      <c r="B873" s="18">
        <v>560</v>
      </c>
      <c r="C873" s="904"/>
      <c r="D873" s="291"/>
    </row>
    <row r="874" spans="1:4" ht="13.2">
      <c r="A874" s="17" t="s">
        <v>744</v>
      </c>
      <c r="B874" s="18">
        <v>560</v>
      </c>
      <c r="C874" s="904"/>
      <c r="D874" s="291"/>
    </row>
    <row r="875" spans="1:4" ht="13.2">
      <c r="A875" s="17" t="s">
        <v>745</v>
      </c>
      <c r="B875" s="18">
        <v>560</v>
      </c>
      <c r="C875" s="904"/>
      <c r="D875" s="291"/>
    </row>
    <row r="876" spans="1:4" ht="13.2">
      <c r="A876" s="17" t="s">
        <v>746</v>
      </c>
      <c r="B876" s="18">
        <v>560</v>
      </c>
      <c r="C876" s="904"/>
      <c r="D876" s="291"/>
    </row>
    <row r="877" spans="1:4" ht="13.2">
      <c r="A877" s="17" t="s">
        <v>747</v>
      </c>
      <c r="B877" s="18">
        <v>560</v>
      </c>
      <c r="C877" s="904"/>
      <c r="D877" s="291"/>
    </row>
    <row r="878" spans="1:4" ht="13.2">
      <c r="A878" s="17" t="s">
        <v>748</v>
      </c>
      <c r="B878" s="18">
        <v>560</v>
      </c>
      <c r="C878" s="904"/>
      <c r="D878" s="291"/>
    </row>
    <row r="879" spans="1:4" ht="13.2">
      <c r="A879" s="17" t="s">
        <v>749</v>
      </c>
      <c r="B879" s="18">
        <v>620</v>
      </c>
      <c r="C879" s="904"/>
      <c r="D879" s="291"/>
    </row>
    <row r="880" spans="1:4" ht="13.2">
      <c r="A880" s="17" t="s">
        <v>750</v>
      </c>
      <c r="B880" s="18">
        <v>620</v>
      </c>
      <c r="C880" s="904"/>
      <c r="D880" s="291"/>
    </row>
    <row r="881" spans="1:4" ht="13.2">
      <c r="A881" s="17" t="s">
        <v>751</v>
      </c>
      <c r="B881" s="18">
        <v>620</v>
      </c>
      <c r="C881" s="904"/>
      <c r="D881" s="291"/>
    </row>
    <row r="882" spans="1:4" ht="13.2">
      <c r="A882" s="17" t="s">
        <v>752</v>
      </c>
      <c r="B882" s="18">
        <v>620</v>
      </c>
      <c r="C882" s="904"/>
      <c r="D882" s="291"/>
    </row>
    <row r="883" spans="1:4" ht="13.2">
      <c r="A883" s="17" t="s">
        <v>753</v>
      </c>
      <c r="B883" s="18">
        <v>620</v>
      </c>
      <c r="C883" s="904"/>
      <c r="D883" s="291"/>
    </row>
    <row r="884" spans="1:4" ht="13.2">
      <c r="A884" s="17" t="s">
        <v>754</v>
      </c>
      <c r="B884" s="18">
        <v>620</v>
      </c>
      <c r="C884" s="904"/>
      <c r="D884" s="291"/>
    </row>
    <row r="885" spans="1:4" ht="13.2">
      <c r="A885" s="17" t="s">
        <v>755</v>
      </c>
      <c r="B885" s="18">
        <v>620</v>
      </c>
      <c r="C885" s="904"/>
      <c r="D885" s="291"/>
    </row>
    <row r="886" spans="1:4" ht="13.2">
      <c r="A886" s="17" t="s">
        <v>756</v>
      </c>
      <c r="B886" s="18">
        <v>620</v>
      </c>
      <c r="C886" s="904"/>
      <c r="D886" s="291"/>
    </row>
    <row r="887" spans="1:4" ht="13.2">
      <c r="A887" s="17" t="s">
        <v>757</v>
      </c>
      <c r="B887" s="18">
        <v>620</v>
      </c>
      <c r="C887" s="904"/>
      <c r="D887" s="291"/>
    </row>
    <row r="888" spans="1:4" ht="13.2">
      <c r="A888" s="17" t="s">
        <v>758</v>
      </c>
      <c r="B888" s="18">
        <v>620</v>
      </c>
      <c r="C888" s="904"/>
      <c r="D888" s="291"/>
    </row>
    <row r="889" spans="1:4" ht="13.2">
      <c r="A889" s="17" t="s">
        <v>759</v>
      </c>
      <c r="B889" s="18">
        <v>620</v>
      </c>
      <c r="C889" s="904"/>
      <c r="D889" s="291"/>
    </row>
    <row r="890" spans="1:4" ht="13.2">
      <c r="A890" s="17" t="s">
        <v>760</v>
      </c>
      <c r="B890" s="18">
        <v>620</v>
      </c>
      <c r="C890" s="904"/>
      <c r="D890" s="291"/>
    </row>
    <row r="891" spans="1:4" ht="13.2">
      <c r="A891" s="17" t="s">
        <v>761</v>
      </c>
      <c r="B891" s="18">
        <v>620</v>
      </c>
      <c r="C891" s="904"/>
      <c r="D891" s="291"/>
    </row>
    <row r="892" spans="1:4" ht="13.2">
      <c r="A892" s="17" t="s">
        <v>762</v>
      </c>
      <c r="B892" s="18">
        <v>620</v>
      </c>
      <c r="C892" s="904"/>
      <c r="D892" s="291"/>
    </row>
    <row r="893" spans="1:4" ht="13.2">
      <c r="A893" s="17" t="s">
        <v>763</v>
      </c>
      <c r="B893" s="18">
        <v>620</v>
      </c>
      <c r="C893" s="904"/>
      <c r="D893" s="291"/>
    </row>
    <row r="894" spans="1:4" ht="13.2">
      <c r="A894" s="17" t="s">
        <v>764</v>
      </c>
      <c r="B894" s="18">
        <v>620</v>
      </c>
      <c r="C894" s="904"/>
      <c r="D894" s="291"/>
    </row>
    <row r="895" spans="1:4" ht="13.2">
      <c r="A895" s="17" t="s">
        <v>1330</v>
      </c>
      <c r="B895" s="18">
        <v>670</v>
      </c>
      <c r="C895" s="904"/>
      <c r="D895" s="292"/>
    </row>
    <row r="896" spans="1:4" ht="13.2">
      <c r="A896" s="17" t="s">
        <v>1331</v>
      </c>
      <c r="B896" s="18">
        <v>670</v>
      </c>
      <c r="C896" s="904"/>
      <c r="D896" s="292"/>
    </row>
    <row r="897" spans="1:4" ht="13.2">
      <c r="A897" s="17" t="s">
        <v>1332</v>
      </c>
      <c r="B897" s="18">
        <v>670</v>
      </c>
      <c r="C897" s="904"/>
      <c r="D897" s="292"/>
    </row>
    <row r="898" spans="1:4" ht="13.2">
      <c r="A898" s="17" t="s">
        <v>1333</v>
      </c>
      <c r="B898" s="18">
        <v>670</v>
      </c>
      <c r="C898" s="904"/>
      <c r="D898" s="292"/>
    </row>
    <row r="899" spans="1:4" ht="13.2">
      <c r="A899" s="17" t="s">
        <v>1334</v>
      </c>
      <c r="B899" s="18">
        <v>670</v>
      </c>
      <c r="C899" s="904"/>
      <c r="D899" s="292"/>
    </row>
    <row r="900" spans="1:4" ht="13.2">
      <c r="A900" s="17" t="s">
        <v>1335</v>
      </c>
      <c r="B900" s="18">
        <v>670</v>
      </c>
      <c r="C900" s="904"/>
      <c r="D900" s="292"/>
    </row>
    <row r="901" spans="1:4" ht="13.2">
      <c r="A901" s="17" t="s">
        <v>1336</v>
      </c>
      <c r="B901" s="18">
        <v>670</v>
      </c>
      <c r="C901" s="904"/>
      <c r="D901" s="292"/>
    </row>
    <row r="902" spans="1:4" ht="13.2">
      <c r="A902" s="17" t="s">
        <v>1337</v>
      </c>
      <c r="B902" s="18">
        <v>670</v>
      </c>
      <c r="C902" s="904"/>
      <c r="D902" s="292"/>
    </row>
    <row r="903" spans="1:4" ht="13.2">
      <c r="A903" s="17" t="s">
        <v>1338</v>
      </c>
      <c r="B903" s="18">
        <v>670</v>
      </c>
      <c r="C903" s="904"/>
      <c r="D903" s="292"/>
    </row>
    <row r="904" spans="1:4" ht="13.2">
      <c r="A904" s="17" t="s">
        <v>1339</v>
      </c>
      <c r="B904" s="18">
        <v>670</v>
      </c>
      <c r="C904" s="904"/>
      <c r="D904" s="292"/>
    </row>
    <row r="905" spans="1:4" ht="13.2">
      <c r="A905" s="17" t="s">
        <v>1340</v>
      </c>
      <c r="B905" s="18">
        <v>670</v>
      </c>
      <c r="C905" s="904"/>
      <c r="D905" s="292"/>
    </row>
    <row r="906" spans="1:4" ht="13.2">
      <c r="A906" s="17" t="s">
        <v>1341</v>
      </c>
      <c r="B906" s="18">
        <v>670</v>
      </c>
      <c r="C906" s="904"/>
      <c r="D906" s="292"/>
    </row>
    <row r="907" spans="1:4" ht="13.2">
      <c r="A907" s="17" t="s">
        <v>1342</v>
      </c>
      <c r="B907" s="18">
        <v>670</v>
      </c>
      <c r="C907" s="904"/>
      <c r="D907" s="292"/>
    </row>
    <row r="908" spans="1:4" ht="13.2">
      <c r="A908" s="17" t="s">
        <v>1343</v>
      </c>
      <c r="B908" s="18">
        <v>670</v>
      </c>
      <c r="C908" s="904"/>
      <c r="D908" s="292"/>
    </row>
    <row r="909" spans="1:4" ht="13.2">
      <c r="A909" s="17" t="s">
        <v>1344</v>
      </c>
      <c r="B909" s="18">
        <v>670</v>
      </c>
      <c r="C909" s="904"/>
      <c r="D909" s="292"/>
    </row>
    <row r="910" spans="1:4" ht="13.2">
      <c r="A910" s="17" t="s">
        <v>1268</v>
      </c>
      <c r="B910" s="18">
        <v>670</v>
      </c>
      <c r="C910" s="904"/>
      <c r="D910" s="292"/>
    </row>
    <row r="911" spans="1:4" ht="13.2">
      <c r="A911" s="17" t="s">
        <v>1345</v>
      </c>
      <c r="B911" s="18">
        <v>850</v>
      </c>
      <c r="C911" s="904"/>
      <c r="D911" s="292"/>
    </row>
    <row r="912" spans="1:4" ht="13.2">
      <c r="A912" s="17" t="s">
        <v>1346</v>
      </c>
      <c r="B912" s="18">
        <v>850</v>
      </c>
      <c r="C912" s="904"/>
      <c r="D912" s="292"/>
    </row>
    <row r="913" spans="1:4" ht="13.2">
      <c r="A913" s="17" t="s">
        <v>1347</v>
      </c>
      <c r="B913" s="18">
        <v>850</v>
      </c>
      <c r="C913" s="904"/>
      <c r="D913" s="292"/>
    </row>
    <row r="914" spans="1:4" ht="13.2">
      <c r="A914" s="17" t="s">
        <v>1348</v>
      </c>
      <c r="B914" s="18">
        <v>850</v>
      </c>
      <c r="C914" s="904"/>
      <c r="D914" s="292"/>
    </row>
    <row r="915" spans="1:4" ht="13.2">
      <c r="A915" s="17" t="s">
        <v>1349</v>
      </c>
      <c r="B915" s="18">
        <v>850</v>
      </c>
      <c r="C915" s="904"/>
      <c r="D915" s="292"/>
    </row>
    <row r="916" spans="1:4" ht="13.2">
      <c r="A916" s="17" t="s">
        <v>1350</v>
      </c>
      <c r="B916" s="18">
        <v>850</v>
      </c>
      <c r="C916" s="904"/>
      <c r="D916" s="292"/>
    </row>
    <row r="917" spans="1:4" ht="13.2">
      <c r="A917" s="17" t="s">
        <v>1351</v>
      </c>
      <c r="B917" s="18">
        <v>850</v>
      </c>
      <c r="C917" s="904"/>
      <c r="D917" s="292"/>
    </row>
    <row r="918" spans="1:4" ht="13.2">
      <c r="A918" s="17" t="s">
        <v>1352</v>
      </c>
      <c r="B918" s="18">
        <v>850</v>
      </c>
      <c r="C918" s="904"/>
      <c r="D918" s="292"/>
    </row>
    <row r="919" spans="1:4" ht="13.2">
      <c r="A919" s="17" t="s">
        <v>1353</v>
      </c>
      <c r="B919" s="18">
        <v>850</v>
      </c>
      <c r="C919" s="904"/>
      <c r="D919" s="292"/>
    </row>
    <row r="920" spans="1:4" ht="13.2">
      <c r="A920" s="17" t="s">
        <v>1354</v>
      </c>
      <c r="B920" s="18">
        <v>850</v>
      </c>
      <c r="C920" s="904"/>
      <c r="D920" s="292"/>
    </row>
    <row r="921" spans="1:4" ht="13.2">
      <c r="A921" s="17" t="s">
        <v>1355</v>
      </c>
      <c r="B921" s="18">
        <v>850</v>
      </c>
      <c r="C921" s="904"/>
      <c r="D921" s="292"/>
    </row>
    <row r="922" spans="1:4" ht="13.2">
      <c r="A922" s="17" t="s">
        <v>1356</v>
      </c>
      <c r="B922" s="18">
        <v>850</v>
      </c>
      <c r="C922" s="904"/>
      <c r="D922" s="292"/>
    </row>
    <row r="923" spans="1:4" ht="13.2">
      <c r="A923" s="17" t="s">
        <v>1357</v>
      </c>
      <c r="B923" s="18">
        <v>850</v>
      </c>
      <c r="C923" s="904"/>
      <c r="D923" s="292"/>
    </row>
    <row r="924" spans="1:4" ht="13.2">
      <c r="A924" s="17" t="s">
        <v>1358</v>
      </c>
      <c r="B924" s="18">
        <v>850</v>
      </c>
      <c r="C924" s="904"/>
      <c r="D924" s="292"/>
    </row>
    <row r="925" spans="1:4" ht="13.2">
      <c r="A925" s="17" t="s">
        <v>1359</v>
      </c>
      <c r="B925" s="18">
        <v>850</v>
      </c>
      <c r="C925" s="904"/>
      <c r="D925" s="292"/>
    </row>
    <row r="926" spans="1:4" ht="13.2">
      <c r="A926" s="17" t="s">
        <v>1269</v>
      </c>
      <c r="B926" s="18">
        <v>850</v>
      </c>
      <c r="C926" s="904"/>
      <c r="D926" s="292"/>
    </row>
    <row r="927" spans="1:4" ht="13.2">
      <c r="A927" s="17" t="s">
        <v>765</v>
      </c>
      <c r="B927" s="18">
        <v>380</v>
      </c>
      <c r="C927" s="904"/>
      <c r="D927" s="291"/>
    </row>
    <row r="928" spans="1:4" ht="13.2">
      <c r="A928" s="17" t="s">
        <v>766</v>
      </c>
      <c r="B928" s="18">
        <v>380</v>
      </c>
      <c r="C928" s="904"/>
      <c r="D928" s="291"/>
    </row>
    <row r="929" spans="1:4" ht="13.2">
      <c r="A929" s="17" t="s">
        <v>767</v>
      </c>
      <c r="B929" s="18">
        <v>380</v>
      </c>
      <c r="C929" s="904"/>
      <c r="D929" s="291"/>
    </row>
    <row r="930" spans="1:4" ht="13.2">
      <c r="A930" s="17" t="s">
        <v>768</v>
      </c>
      <c r="B930" s="18">
        <v>380</v>
      </c>
      <c r="C930" s="904"/>
      <c r="D930" s="291"/>
    </row>
    <row r="931" spans="1:4" ht="13.2">
      <c r="A931" s="17" t="s">
        <v>769</v>
      </c>
      <c r="B931" s="18">
        <v>380</v>
      </c>
      <c r="C931" s="904"/>
      <c r="D931" s="291"/>
    </row>
    <row r="932" spans="1:4" ht="13.2">
      <c r="A932" s="17" t="s">
        <v>770</v>
      </c>
      <c r="B932" s="18">
        <v>380</v>
      </c>
      <c r="C932" s="904"/>
      <c r="D932" s="291"/>
    </row>
    <row r="933" spans="1:4" ht="13.2">
      <c r="A933" s="17" t="s">
        <v>771</v>
      </c>
      <c r="B933" s="18">
        <v>380</v>
      </c>
      <c r="C933" s="904"/>
      <c r="D933" s="291"/>
    </row>
    <row r="934" spans="1:4" ht="13.2">
      <c r="A934" s="17" t="s">
        <v>772</v>
      </c>
      <c r="B934" s="18">
        <v>380</v>
      </c>
      <c r="C934" s="904"/>
      <c r="D934" s="291"/>
    </row>
    <row r="935" spans="1:4" ht="13.2">
      <c r="A935" s="17" t="s">
        <v>773</v>
      </c>
      <c r="B935" s="18">
        <v>380</v>
      </c>
      <c r="C935" s="904"/>
      <c r="D935" s="291"/>
    </row>
    <row r="936" spans="1:4" ht="13.2">
      <c r="A936" s="17" t="s">
        <v>774</v>
      </c>
      <c r="B936" s="18">
        <v>380</v>
      </c>
      <c r="C936" s="904"/>
      <c r="D936" s="291"/>
    </row>
    <row r="937" spans="1:4" ht="13.2">
      <c r="A937" s="17" t="s">
        <v>775</v>
      </c>
      <c r="B937" s="18">
        <v>380</v>
      </c>
      <c r="C937" s="904"/>
      <c r="D937" s="291"/>
    </row>
    <row r="938" spans="1:4" ht="13.2">
      <c r="A938" s="17" t="s">
        <v>776</v>
      </c>
      <c r="B938" s="18">
        <v>380</v>
      </c>
      <c r="C938" s="904"/>
      <c r="D938" s="291"/>
    </row>
    <row r="939" spans="1:4" ht="13.2">
      <c r="A939" s="17" t="s">
        <v>777</v>
      </c>
      <c r="B939" s="18">
        <v>380</v>
      </c>
      <c r="C939" s="904"/>
      <c r="D939" s="291"/>
    </row>
    <row r="940" spans="1:4" ht="13.2">
      <c r="A940" s="17" t="s">
        <v>778</v>
      </c>
      <c r="B940" s="18">
        <v>380</v>
      </c>
      <c r="C940" s="904"/>
      <c r="D940" s="291"/>
    </row>
    <row r="941" spans="1:4" ht="13.2">
      <c r="A941" s="17" t="s">
        <v>779</v>
      </c>
      <c r="B941" s="18">
        <v>380</v>
      </c>
      <c r="C941" s="904"/>
      <c r="D941" s="291"/>
    </row>
    <row r="942" spans="1:4" ht="13.2">
      <c r="A942" s="17" t="s">
        <v>780</v>
      </c>
      <c r="B942" s="18">
        <v>380</v>
      </c>
      <c r="C942" s="904"/>
      <c r="D942" s="291"/>
    </row>
    <row r="943" spans="1:4" ht="13.2">
      <c r="A943" s="17" t="s">
        <v>781</v>
      </c>
      <c r="B943" s="18">
        <v>440</v>
      </c>
      <c r="C943" s="904"/>
      <c r="D943" s="291"/>
    </row>
    <row r="944" spans="1:4" ht="13.2">
      <c r="A944" s="17" t="s">
        <v>782</v>
      </c>
      <c r="B944" s="18">
        <v>440</v>
      </c>
      <c r="C944" s="904"/>
      <c r="D944" s="291"/>
    </row>
    <row r="945" spans="1:4" ht="13.2">
      <c r="A945" s="17" t="s">
        <v>783</v>
      </c>
      <c r="B945" s="18">
        <v>440</v>
      </c>
      <c r="C945" s="904"/>
      <c r="D945" s="291"/>
    </row>
    <row r="946" spans="1:4" ht="13.2">
      <c r="A946" s="17" t="s">
        <v>784</v>
      </c>
      <c r="B946" s="18">
        <v>440</v>
      </c>
      <c r="C946" s="904"/>
      <c r="D946" s="291"/>
    </row>
    <row r="947" spans="1:4" ht="13.2">
      <c r="A947" s="17" t="s">
        <v>785</v>
      </c>
      <c r="B947" s="18">
        <v>440</v>
      </c>
      <c r="C947" s="904"/>
      <c r="D947" s="291"/>
    </row>
    <row r="948" spans="1:4" ht="13.2">
      <c r="A948" s="17" t="s">
        <v>786</v>
      </c>
      <c r="B948" s="18">
        <v>440</v>
      </c>
      <c r="C948" s="904"/>
      <c r="D948" s="291"/>
    </row>
    <row r="949" spans="1:4" ht="13.2">
      <c r="A949" s="17" t="s">
        <v>787</v>
      </c>
      <c r="B949" s="18">
        <v>440</v>
      </c>
      <c r="C949" s="904"/>
      <c r="D949" s="291"/>
    </row>
    <row r="950" spans="1:4" ht="13.2">
      <c r="A950" s="17" t="s">
        <v>788</v>
      </c>
      <c r="B950" s="18">
        <v>440</v>
      </c>
      <c r="C950" s="904"/>
      <c r="D950" s="291"/>
    </row>
    <row r="951" spans="1:4" ht="13.2">
      <c r="A951" s="17" t="s">
        <v>789</v>
      </c>
      <c r="B951" s="18">
        <v>440</v>
      </c>
      <c r="C951" s="904"/>
      <c r="D951" s="291"/>
    </row>
    <row r="952" spans="1:4" ht="13.2">
      <c r="A952" s="17" t="s">
        <v>790</v>
      </c>
      <c r="B952" s="18">
        <v>440</v>
      </c>
      <c r="C952" s="904"/>
      <c r="D952" s="291"/>
    </row>
    <row r="953" spans="1:4" ht="13.2">
      <c r="A953" s="17" t="s">
        <v>791</v>
      </c>
      <c r="B953" s="18">
        <v>440</v>
      </c>
      <c r="C953" s="904"/>
      <c r="D953" s="291"/>
    </row>
    <row r="954" spans="1:4" ht="13.2">
      <c r="A954" s="17" t="s">
        <v>792</v>
      </c>
      <c r="B954" s="18">
        <v>440</v>
      </c>
      <c r="C954" s="904"/>
      <c r="D954" s="291"/>
    </row>
    <row r="955" spans="1:4" ht="13.2">
      <c r="A955" s="17" t="s">
        <v>793</v>
      </c>
      <c r="B955" s="18">
        <v>440</v>
      </c>
      <c r="C955" s="904"/>
      <c r="D955" s="291"/>
    </row>
    <row r="956" spans="1:4" ht="13.2">
      <c r="A956" s="17" t="s">
        <v>794</v>
      </c>
      <c r="B956" s="18">
        <v>440</v>
      </c>
      <c r="C956" s="904"/>
      <c r="D956" s="291"/>
    </row>
    <row r="957" spans="1:4" ht="13.2">
      <c r="A957" s="17" t="s">
        <v>795</v>
      </c>
      <c r="B957" s="18">
        <v>440</v>
      </c>
      <c r="C957" s="904"/>
      <c r="D957" s="291"/>
    </row>
    <row r="958" spans="1:4" ht="13.2">
      <c r="A958" s="17" t="s">
        <v>796</v>
      </c>
      <c r="B958" s="18">
        <v>440</v>
      </c>
      <c r="C958" s="904"/>
      <c r="D958" s="291"/>
    </row>
    <row r="959" spans="1:4" ht="13.2">
      <c r="A959" s="17" t="s">
        <v>797</v>
      </c>
      <c r="B959" s="18">
        <v>520</v>
      </c>
      <c r="C959" s="904"/>
      <c r="D959" s="291"/>
    </row>
    <row r="960" spans="1:4" ht="13.2">
      <c r="A960" s="17" t="s">
        <v>798</v>
      </c>
      <c r="B960" s="18">
        <v>520</v>
      </c>
      <c r="C960" s="904"/>
      <c r="D960" s="291"/>
    </row>
    <row r="961" spans="1:4" ht="13.2">
      <c r="A961" s="17" t="s">
        <v>799</v>
      </c>
      <c r="B961" s="18">
        <v>520</v>
      </c>
      <c r="C961" s="904"/>
      <c r="D961" s="291"/>
    </row>
    <row r="962" spans="1:4" ht="13.2">
      <c r="A962" s="17" t="s">
        <v>800</v>
      </c>
      <c r="B962" s="18">
        <v>520</v>
      </c>
      <c r="C962" s="904"/>
      <c r="D962" s="291"/>
    </row>
    <row r="963" spans="1:4" ht="13.2">
      <c r="A963" s="17" t="s">
        <v>801</v>
      </c>
      <c r="B963" s="18">
        <v>520</v>
      </c>
      <c r="C963" s="904"/>
      <c r="D963" s="291"/>
    </row>
    <row r="964" spans="1:4" ht="13.2">
      <c r="A964" s="17" t="s">
        <v>802</v>
      </c>
      <c r="B964" s="18">
        <v>520</v>
      </c>
      <c r="C964" s="904"/>
      <c r="D964" s="291"/>
    </row>
    <row r="965" spans="1:4" ht="13.2">
      <c r="A965" s="17" t="s">
        <v>803</v>
      </c>
      <c r="B965" s="18">
        <v>520</v>
      </c>
      <c r="C965" s="904"/>
      <c r="D965" s="291"/>
    </row>
    <row r="966" spans="1:4" ht="13.2">
      <c r="A966" s="17" t="s">
        <v>804</v>
      </c>
      <c r="B966" s="18">
        <v>520</v>
      </c>
      <c r="C966" s="904"/>
      <c r="D966" s="291"/>
    </row>
    <row r="967" spans="1:4" ht="13.2">
      <c r="A967" s="17" t="s">
        <v>805</v>
      </c>
      <c r="B967" s="18">
        <v>520</v>
      </c>
      <c r="C967" s="904"/>
      <c r="D967" s="291"/>
    </row>
    <row r="968" spans="1:4" ht="13.2">
      <c r="A968" s="17" t="s">
        <v>806</v>
      </c>
      <c r="B968" s="18">
        <v>520</v>
      </c>
      <c r="C968" s="904"/>
      <c r="D968" s="291"/>
    </row>
    <row r="969" spans="1:4" ht="13.2">
      <c r="A969" s="17" t="s">
        <v>807</v>
      </c>
      <c r="B969" s="18">
        <v>520</v>
      </c>
      <c r="C969" s="904"/>
      <c r="D969" s="291"/>
    </row>
    <row r="970" spans="1:4" ht="13.2">
      <c r="A970" s="17" t="s">
        <v>808</v>
      </c>
      <c r="B970" s="18">
        <v>520</v>
      </c>
      <c r="C970" s="904"/>
      <c r="D970" s="291"/>
    </row>
    <row r="971" spans="1:4" ht="13.2">
      <c r="A971" s="17" t="s">
        <v>809</v>
      </c>
      <c r="B971" s="18">
        <v>520</v>
      </c>
      <c r="C971" s="904"/>
      <c r="D971" s="291"/>
    </row>
    <row r="972" spans="1:4" ht="13.2">
      <c r="A972" s="17" t="s">
        <v>810</v>
      </c>
      <c r="B972" s="18">
        <v>520</v>
      </c>
      <c r="C972" s="904"/>
      <c r="D972" s="291"/>
    </row>
    <row r="973" spans="1:4" ht="13.2">
      <c r="A973" s="17" t="s">
        <v>811</v>
      </c>
      <c r="B973" s="18">
        <v>520</v>
      </c>
      <c r="C973" s="904"/>
      <c r="D973" s="291"/>
    </row>
    <row r="974" spans="1:4" ht="13.2">
      <c r="A974" s="17" t="s">
        <v>812</v>
      </c>
      <c r="B974" s="18">
        <v>520</v>
      </c>
      <c r="C974" s="904"/>
      <c r="D974" s="291"/>
    </row>
    <row r="975" spans="1:4" ht="13.2">
      <c r="A975" s="17" t="s">
        <v>813</v>
      </c>
      <c r="B975" s="18">
        <v>560</v>
      </c>
      <c r="C975" s="904"/>
      <c r="D975" s="291"/>
    </row>
    <row r="976" spans="1:4" ht="13.2">
      <c r="A976" s="17" t="s">
        <v>814</v>
      </c>
      <c r="B976" s="18">
        <v>560</v>
      </c>
      <c r="C976" s="904"/>
      <c r="D976" s="291"/>
    </row>
    <row r="977" spans="1:4" ht="13.2">
      <c r="A977" s="17" t="s">
        <v>815</v>
      </c>
      <c r="B977" s="18">
        <v>560</v>
      </c>
      <c r="C977" s="904"/>
      <c r="D977" s="291"/>
    </row>
    <row r="978" spans="1:4" ht="13.2">
      <c r="A978" s="17" t="s">
        <v>816</v>
      </c>
      <c r="B978" s="18">
        <v>560</v>
      </c>
      <c r="C978" s="904"/>
      <c r="D978" s="291"/>
    </row>
    <row r="979" spans="1:4" ht="13.2">
      <c r="A979" s="17" t="s">
        <v>817</v>
      </c>
      <c r="B979" s="18">
        <v>560</v>
      </c>
      <c r="C979" s="904"/>
      <c r="D979" s="291"/>
    </row>
    <row r="980" spans="1:4" ht="13.2">
      <c r="A980" s="17" t="s">
        <v>818</v>
      </c>
      <c r="B980" s="18">
        <v>560</v>
      </c>
      <c r="C980" s="904"/>
      <c r="D980" s="291"/>
    </row>
    <row r="981" spans="1:4" ht="13.2">
      <c r="A981" s="17" t="s">
        <v>819</v>
      </c>
      <c r="B981" s="18">
        <v>560</v>
      </c>
      <c r="C981" s="904"/>
      <c r="D981" s="291"/>
    </row>
    <row r="982" spans="1:4" ht="13.2">
      <c r="A982" s="17" t="s">
        <v>820</v>
      </c>
      <c r="B982" s="18">
        <v>560</v>
      </c>
      <c r="C982" s="904"/>
      <c r="D982" s="291"/>
    </row>
    <row r="983" spans="1:4" ht="13.2">
      <c r="A983" s="17" t="s">
        <v>821</v>
      </c>
      <c r="B983" s="18">
        <v>560</v>
      </c>
      <c r="C983" s="904"/>
      <c r="D983" s="291"/>
    </row>
    <row r="984" spans="1:4" ht="13.2">
      <c r="A984" s="17" t="s">
        <v>822</v>
      </c>
      <c r="B984" s="18">
        <v>560</v>
      </c>
      <c r="C984" s="904"/>
      <c r="D984" s="291"/>
    </row>
    <row r="985" spans="1:4" ht="13.2">
      <c r="A985" s="17" t="s">
        <v>823</v>
      </c>
      <c r="B985" s="18">
        <v>560</v>
      </c>
      <c r="C985" s="904"/>
      <c r="D985" s="291"/>
    </row>
    <row r="986" spans="1:4" ht="13.2">
      <c r="A986" s="17" t="s">
        <v>824</v>
      </c>
      <c r="B986" s="18">
        <v>560</v>
      </c>
      <c r="C986" s="904"/>
      <c r="D986" s="291"/>
    </row>
    <row r="987" spans="1:4" ht="13.2">
      <c r="A987" s="17" t="s">
        <v>825</v>
      </c>
      <c r="B987" s="18">
        <v>560</v>
      </c>
      <c r="C987" s="904"/>
      <c r="D987" s="291"/>
    </row>
    <row r="988" spans="1:4" ht="13.2">
      <c r="A988" s="17" t="s">
        <v>826</v>
      </c>
      <c r="B988" s="18">
        <v>560</v>
      </c>
      <c r="C988" s="904"/>
      <c r="D988" s="291"/>
    </row>
    <row r="989" spans="1:4" ht="13.2">
      <c r="A989" s="17" t="s">
        <v>827</v>
      </c>
      <c r="B989" s="18">
        <v>560</v>
      </c>
      <c r="C989" s="904"/>
      <c r="D989" s="291"/>
    </row>
    <row r="990" spans="1:4" ht="13.2">
      <c r="A990" s="17" t="s">
        <v>828</v>
      </c>
      <c r="B990" s="18">
        <v>560</v>
      </c>
      <c r="C990" s="904"/>
      <c r="D990" s="291"/>
    </row>
    <row r="991" spans="1:4" ht="13.2">
      <c r="A991" s="17" t="s">
        <v>829</v>
      </c>
      <c r="B991" s="18">
        <v>620</v>
      </c>
      <c r="C991" s="904"/>
      <c r="D991" s="291"/>
    </row>
    <row r="992" spans="1:4" ht="13.2">
      <c r="A992" s="17" t="s">
        <v>830</v>
      </c>
      <c r="B992" s="18">
        <v>620</v>
      </c>
      <c r="C992" s="904"/>
      <c r="D992" s="291"/>
    </row>
    <row r="993" spans="1:4" ht="13.2">
      <c r="A993" s="17" t="s">
        <v>831</v>
      </c>
      <c r="B993" s="18">
        <v>620</v>
      </c>
      <c r="C993" s="904"/>
      <c r="D993" s="291"/>
    </row>
    <row r="994" spans="1:4" ht="13.2">
      <c r="A994" s="17" t="s">
        <v>832</v>
      </c>
      <c r="B994" s="18">
        <v>620</v>
      </c>
      <c r="C994" s="904"/>
      <c r="D994" s="291"/>
    </row>
    <row r="995" spans="1:4" ht="13.2">
      <c r="A995" s="17" t="s">
        <v>833</v>
      </c>
      <c r="B995" s="18">
        <v>620</v>
      </c>
      <c r="C995" s="904"/>
      <c r="D995" s="291"/>
    </row>
    <row r="996" spans="1:4" ht="13.2">
      <c r="A996" s="17" t="s">
        <v>834</v>
      </c>
      <c r="B996" s="18">
        <v>620</v>
      </c>
      <c r="C996" s="904"/>
      <c r="D996" s="291"/>
    </row>
    <row r="997" spans="1:4" ht="13.2">
      <c r="A997" s="17" t="s">
        <v>835</v>
      </c>
      <c r="B997" s="18">
        <v>620</v>
      </c>
      <c r="C997" s="904"/>
      <c r="D997" s="291"/>
    </row>
    <row r="998" spans="1:4" ht="13.2">
      <c r="A998" s="17" t="s">
        <v>836</v>
      </c>
      <c r="B998" s="18">
        <v>620</v>
      </c>
      <c r="C998" s="904"/>
      <c r="D998" s="291"/>
    </row>
    <row r="999" spans="1:4" ht="13.2">
      <c r="A999" s="17" t="s">
        <v>837</v>
      </c>
      <c r="B999" s="18">
        <v>620</v>
      </c>
      <c r="C999" s="904"/>
      <c r="D999" s="291"/>
    </row>
    <row r="1000" spans="1:4" ht="13.2">
      <c r="A1000" s="17" t="s">
        <v>838</v>
      </c>
      <c r="B1000" s="18">
        <v>620</v>
      </c>
      <c r="C1000" s="904"/>
      <c r="D1000" s="291"/>
    </row>
    <row r="1001" spans="1:4" ht="13.2">
      <c r="A1001" s="17" t="s">
        <v>839</v>
      </c>
      <c r="B1001" s="18">
        <v>620</v>
      </c>
      <c r="C1001" s="904"/>
      <c r="D1001" s="291"/>
    </row>
    <row r="1002" spans="1:4" ht="13.2">
      <c r="A1002" s="17" t="s">
        <v>840</v>
      </c>
      <c r="B1002" s="18">
        <v>620</v>
      </c>
      <c r="C1002" s="904"/>
      <c r="D1002" s="291"/>
    </row>
    <row r="1003" spans="1:4" ht="13.2">
      <c r="A1003" s="17" t="s">
        <v>841</v>
      </c>
      <c r="B1003" s="18">
        <v>620</v>
      </c>
      <c r="C1003" s="904"/>
      <c r="D1003" s="291"/>
    </row>
    <row r="1004" spans="1:4" ht="13.2">
      <c r="A1004" s="17" t="s">
        <v>842</v>
      </c>
      <c r="B1004" s="18">
        <v>620</v>
      </c>
      <c r="C1004" s="904"/>
      <c r="D1004" s="291"/>
    </row>
    <row r="1005" spans="1:4" ht="13.2">
      <c r="A1005" s="17" t="s">
        <v>843</v>
      </c>
      <c r="B1005" s="18">
        <v>620</v>
      </c>
      <c r="C1005" s="904"/>
      <c r="D1005" s="291"/>
    </row>
    <row r="1006" spans="1:4" ht="13.2">
      <c r="A1006" s="17" t="s">
        <v>844</v>
      </c>
      <c r="B1006" s="18">
        <v>620</v>
      </c>
      <c r="C1006" s="904"/>
      <c r="D1006" s="291"/>
    </row>
    <row r="1007" spans="1:4" ht="13.2">
      <c r="A1007" s="17" t="s">
        <v>845</v>
      </c>
      <c r="B1007" s="18">
        <v>680</v>
      </c>
      <c r="C1007" s="904"/>
      <c r="D1007" s="291"/>
    </row>
    <row r="1008" spans="1:4" ht="13.2">
      <c r="A1008" s="17" t="s">
        <v>846</v>
      </c>
      <c r="B1008" s="18">
        <v>680</v>
      </c>
      <c r="C1008" s="904"/>
      <c r="D1008" s="291"/>
    </row>
    <row r="1009" spans="1:4" ht="13.2">
      <c r="A1009" s="17" t="s">
        <v>847</v>
      </c>
      <c r="B1009" s="18">
        <v>680</v>
      </c>
      <c r="C1009" s="904"/>
      <c r="D1009" s="291"/>
    </row>
    <row r="1010" spans="1:4" ht="13.2">
      <c r="A1010" s="17" t="s">
        <v>848</v>
      </c>
      <c r="B1010" s="18">
        <v>680</v>
      </c>
      <c r="C1010" s="904"/>
      <c r="D1010" s="291"/>
    </row>
    <row r="1011" spans="1:4" ht="13.2">
      <c r="A1011" s="17" t="s">
        <v>849</v>
      </c>
      <c r="B1011" s="18">
        <v>680</v>
      </c>
      <c r="C1011" s="904"/>
      <c r="D1011" s="291"/>
    </row>
    <row r="1012" spans="1:4" ht="13.2">
      <c r="A1012" s="17" t="s">
        <v>850</v>
      </c>
      <c r="B1012" s="18">
        <v>680</v>
      </c>
      <c r="C1012" s="904"/>
      <c r="D1012" s="291"/>
    </row>
    <row r="1013" spans="1:4" ht="13.2">
      <c r="A1013" s="17" t="s">
        <v>851</v>
      </c>
      <c r="B1013" s="18">
        <v>680</v>
      </c>
      <c r="C1013" s="904"/>
      <c r="D1013" s="291"/>
    </row>
    <row r="1014" spans="1:4" ht="13.2">
      <c r="A1014" s="17" t="s">
        <v>852</v>
      </c>
      <c r="B1014" s="18">
        <v>680</v>
      </c>
      <c r="C1014" s="904"/>
      <c r="D1014" s="291"/>
    </row>
    <row r="1015" spans="1:4" ht="13.2">
      <c r="A1015" s="17" t="s">
        <v>853</v>
      </c>
      <c r="B1015" s="18">
        <v>680</v>
      </c>
      <c r="C1015" s="904"/>
      <c r="D1015" s="291"/>
    </row>
    <row r="1016" spans="1:4" ht="13.2">
      <c r="A1016" s="17" t="s">
        <v>854</v>
      </c>
      <c r="B1016" s="18">
        <v>680</v>
      </c>
      <c r="C1016" s="904"/>
      <c r="D1016" s="291"/>
    </row>
    <row r="1017" spans="1:4" ht="13.2">
      <c r="A1017" s="17" t="s">
        <v>855</v>
      </c>
      <c r="B1017" s="18">
        <v>680</v>
      </c>
      <c r="C1017" s="904"/>
      <c r="D1017" s="291"/>
    </row>
    <row r="1018" spans="1:4" ht="13.2">
      <c r="A1018" s="17" t="s">
        <v>856</v>
      </c>
      <c r="B1018" s="18">
        <v>680</v>
      </c>
      <c r="C1018" s="904"/>
      <c r="D1018" s="291"/>
    </row>
    <row r="1019" spans="1:4" ht="13.2">
      <c r="A1019" s="17" t="s">
        <v>857</v>
      </c>
      <c r="B1019" s="18">
        <v>680</v>
      </c>
      <c r="C1019" s="904"/>
      <c r="D1019" s="291"/>
    </row>
    <row r="1020" spans="1:4" ht="13.2">
      <c r="A1020" s="17" t="s">
        <v>858</v>
      </c>
      <c r="B1020" s="18">
        <v>680</v>
      </c>
      <c r="C1020" s="904"/>
      <c r="D1020" s="291"/>
    </row>
    <row r="1021" spans="1:4" ht="13.2">
      <c r="A1021" s="17" t="s">
        <v>859</v>
      </c>
      <c r="B1021" s="18">
        <v>680</v>
      </c>
      <c r="C1021" s="904"/>
      <c r="D1021" s="291"/>
    </row>
    <row r="1022" spans="1:4" ht="13.2">
      <c r="A1022" s="17" t="s">
        <v>860</v>
      </c>
      <c r="B1022" s="18">
        <v>680</v>
      </c>
      <c r="C1022" s="904"/>
      <c r="D1022" s="291"/>
    </row>
    <row r="1023" spans="1:4" ht="13.2">
      <c r="A1023" s="17" t="s">
        <v>861</v>
      </c>
      <c r="B1023" s="18">
        <v>850</v>
      </c>
      <c r="C1023" s="904"/>
      <c r="D1023" s="291"/>
    </row>
    <row r="1024" spans="1:4" ht="13.2">
      <c r="A1024" s="17" t="s">
        <v>862</v>
      </c>
      <c r="B1024" s="18">
        <v>850</v>
      </c>
      <c r="C1024" s="904"/>
      <c r="D1024" s="291"/>
    </row>
    <row r="1025" spans="1:4" ht="13.2">
      <c r="A1025" s="17" t="s">
        <v>863</v>
      </c>
      <c r="B1025" s="18">
        <v>850</v>
      </c>
      <c r="C1025" s="904"/>
      <c r="D1025" s="291"/>
    </row>
    <row r="1026" spans="1:4" ht="13.2">
      <c r="A1026" s="17" t="s">
        <v>864</v>
      </c>
      <c r="B1026" s="18">
        <v>850</v>
      </c>
      <c r="C1026" s="904"/>
      <c r="D1026" s="291"/>
    </row>
    <row r="1027" spans="1:4" ht="13.2">
      <c r="A1027" s="17" t="s">
        <v>865</v>
      </c>
      <c r="B1027" s="18">
        <v>850</v>
      </c>
      <c r="C1027" s="904"/>
      <c r="D1027" s="291"/>
    </row>
    <row r="1028" spans="1:4" ht="13.2">
      <c r="A1028" s="17" t="s">
        <v>866</v>
      </c>
      <c r="B1028" s="18">
        <v>850</v>
      </c>
      <c r="C1028" s="904"/>
      <c r="D1028" s="291"/>
    </row>
    <row r="1029" spans="1:4" ht="13.2">
      <c r="A1029" s="17" t="s">
        <v>867</v>
      </c>
      <c r="B1029" s="18">
        <v>850</v>
      </c>
      <c r="C1029" s="904"/>
      <c r="D1029" s="291"/>
    </row>
    <row r="1030" spans="1:4" ht="13.2">
      <c r="A1030" s="17" t="s">
        <v>868</v>
      </c>
      <c r="B1030" s="18">
        <v>850</v>
      </c>
      <c r="C1030" s="904"/>
      <c r="D1030" s="291"/>
    </row>
    <row r="1031" spans="1:4" ht="13.2">
      <c r="A1031" s="17" t="s">
        <v>869</v>
      </c>
      <c r="B1031" s="18">
        <v>850</v>
      </c>
      <c r="C1031" s="904"/>
      <c r="D1031" s="291"/>
    </row>
    <row r="1032" spans="1:4" ht="13.2">
      <c r="A1032" s="17" t="s">
        <v>870</v>
      </c>
      <c r="B1032" s="18">
        <v>850</v>
      </c>
      <c r="C1032" s="904"/>
      <c r="D1032" s="291"/>
    </row>
    <row r="1033" spans="1:4" ht="13.2">
      <c r="A1033" s="17" t="s">
        <v>871</v>
      </c>
      <c r="B1033" s="18">
        <v>850</v>
      </c>
      <c r="C1033" s="904"/>
      <c r="D1033" s="291"/>
    </row>
    <row r="1034" spans="1:4" ht="13.2">
      <c r="A1034" s="17" t="s">
        <v>872</v>
      </c>
      <c r="B1034" s="18">
        <v>850</v>
      </c>
      <c r="C1034" s="904"/>
      <c r="D1034" s="291"/>
    </row>
    <row r="1035" spans="1:4" ht="13.2">
      <c r="A1035" s="17" t="s">
        <v>873</v>
      </c>
      <c r="B1035" s="18">
        <v>850</v>
      </c>
      <c r="C1035" s="904"/>
      <c r="D1035" s="291"/>
    </row>
    <row r="1036" spans="1:4" ht="13.2">
      <c r="A1036" s="17" t="s">
        <v>874</v>
      </c>
      <c r="B1036" s="18">
        <v>850</v>
      </c>
      <c r="C1036" s="904"/>
      <c r="D1036" s="291"/>
    </row>
    <row r="1037" spans="1:4" ht="13.2">
      <c r="A1037" s="17" t="s">
        <v>875</v>
      </c>
      <c r="B1037" s="18">
        <v>850</v>
      </c>
      <c r="C1037" s="904"/>
      <c r="D1037" s="291"/>
    </row>
    <row r="1038" spans="1:4" ht="13.8" thickBot="1">
      <c r="A1038" s="23" t="s">
        <v>876</v>
      </c>
      <c r="B1038" s="24">
        <v>850</v>
      </c>
      <c r="C1038" s="905"/>
      <c r="D1038" s="291"/>
    </row>
    <row r="1039" spans="1:4" ht="13.2">
      <c r="A1039" s="21" t="s">
        <v>877</v>
      </c>
      <c r="B1039" s="22">
        <v>820</v>
      </c>
      <c r="C1039" s="906" t="s">
        <v>878</v>
      </c>
      <c r="D1039" s="291"/>
    </row>
    <row r="1040" spans="1:4" ht="13.2">
      <c r="A1040" s="17" t="s">
        <v>879</v>
      </c>
      <c r="B1040" s="18">
        <v>820</v>
      </c>
      <c r="C1040" s="907"/>
      <c r="D1040" s="291"/>
    </row>
    <row r="1041" spans="1:4" ht="13.2">
      <c r="A1041" s="17" t="s">
        <v>880</v>
      </c>
      <c r="B1041" s="18">
        <v>820</v>
      </c>
      <c r="C1041" s="907"/>
      <c r="D1041" s="291"/>
    </row>
    <row r="1042" spans="1:4" ht="13.2">
      <c r="A1042" s="17" t="s">
        <v>881</v>
      </c>
      <c r="B1042" s="18">
        <v>820</v>
      </c>
      <c r="C1042" s="907"/>
      <c r="D1042" s="291"/>
    </row>
    <row r="1043" spans="1:4" ht="13.2">
      <c r="A1043" s="17" t="s">
        <v>882</v>
      </c>
      <c r="B1043" s="18">
        <v>820</v>
      </c>
      <c r="C1043" s="907"/>
      <c r="D1043" s="291"/>
    </row>
    <row r="1044" spans="1:4" ht="13.2">
      <c r="A1044" s="17" t="s">
        <v>883</v>
      </c>
      <c r="B1044" s="18">
        <v>820</v>
      </c>
      <c r="C1044" s="907"/>
      <c r="D1044" s="291"/>
    </row>
    <row r="1045" spans="1:4" ht="13.2">
      <c r="A1045" s="17" t="s">
        <v>884</v>
      </c>
      <c r="B1045" s="18">
        <v>820</v>
      </c>
      <c r="C1045" s="907"/>
      <c r="D1045" s="291"/>
    </row>
    <row r="1046" spans="1:4" ht="13.2">
      <c r="A1046" s="17" t="s">
        <v>885</v>
      </c>
      <c r="B1046" s="18">
        <v>820</v>
      </c>
      <c r="C1046" s="907"/>
      <c r="D1046" s="291"/>
    </row>
    <row r="1047" spans="1:4" ht="13.2">
      <c r="A1047" s="17" t="s">
        <v>886</v>
      </c>
      <c r="B1047" s="18">
        <v>820</v>
      </c>
      <c r="C1047" s="907"/>
      <c r="D1047" s="291"/>
    </row>
    <row r="1048" spans="1:4" ht="13.2">
      <c r="A1048" s="17" t="s">
        <v>887</v>
      </c>
      <c r="B1048" s="18">
        <v>820</v>
      </c>
      <c r="C1048" s="907"/>
      <c r="D1048" s="291"/>
    </row>
    <row r="1049" spans="1:4" ht="13.2">
      <c r="A1049" s="17" t="s">
        <v>888</v>
      </c>
      <c r="B1049" s="18">
        <v>820</v>
      </c>
      <c r="C1049" s="907"/>
      <c r="D1049" s="291"/>
    </row>
    <row r="1050" spans="1:4" ht="13.2">
      <c r="A1050" s="17" t="s">
        <v>889</v>
      </c>
      <c r="B1050" s="18">
        <v>820</v>
      </c>
      <c r="C1050" s="907"/>
      <c r="D1050" s="291"/>
    </row>
    <row r="1051" spans="1:4" ht="13.2">
      <c r="A1051" s="17" t="s">
        <v>890</v>
      </c>
      <c r="B1051" s="18">
        <v>820</v>
      </c>
      <c r="C1051" s="907"/>
      <c r="D1051" s="291"/>
    </row>
    <row r="1052" spans="1:4" ht="13.2">
      <c r="A1052" s="17" t="s">
        <v>891</v>
      </c>
      <c r="B1052" s="18">
        <v>820</v>
      </c>
      <c r="C1052" s="907"/>
      <c r="D1052" s="291"/>
    </row>
    <row r="1053" spans="1:4" ht="13.2">
      <c r="A1053" s="17" t="s">
        <v>892</v>
      </c>
      <c r="B1053" s="18">
        <v>820</v>
      </c>
      <c r="C1053" s="907"/>
      <c r="D1053" s="291"/>
    </row>
    <row r="1054" spans="1:4" ht="13.2">
      <c r="A1054" s="17" t="s">
        <v>893</v>
      </c>
      <c r="B1054" s="18">
        <v>820</v>
      </c>
      <c r="C1054" s="907"/>
      <c r="D1054" s="291"/>
    </row>
    <row r="1055" spans="1:4" ht="13.2">
      <c r="A1055" s="17" t="s">
        <v>894</v>
      </c>
      <c r="B1055" s="18">
        <v>720</v>
      </c>
      <c r="C1055" s="907"/>
      <c r="D1055" s="291"/>
    </row>
    <row r="1056" spans="1:4" ht="13.2">
      <c r="A1056" s="17" t="s">
        <v>895</v>
      </c>
      <c r="B1056" s="18">
        <v>720</v>
      </c>
      <c r="C1056" s="907"/>
      <c r="D1056" s="291"/>
    </row>
    <row r="1057" spans="1:4" ht="13.2">
      <c r="A1057" s="17" t="s">
        <v>896</v>
      </c>
      <c r="B1057" s="18">
        <v>720</v>
      </c>
      <c r="C1057" s="907"/>
      <c r="D1057" s="291"/>
    </row>
    <row r="1058" spans="1:4" ht="13.2">
      <c r="A1058" s="17" t="s">
        <v>897</v>
      </c>
      <c r="B1058" s="18">
        <v>720</v>
      </c>
      <c r="C1058" s="907"/>
      <c r="D1058" s="291"/>
    </row>
    <row r="1059" spans="1:4" ht="13.2">
      <c r="A1059" s="17" t="s">
        <v>898</v>
      </c>
      <c r="B1059" s="18">
        <v>720</v>
      </c>
      <c r="C1059" s="907"/>
      <c r="D1059" s="291"/>
    </row>
    <row r="1060" spans="1:4" ht="13.2">
      <c r="A1060" s="17" t="s">
        <v>899</v>
      </c>
      <c r="B1060" s="18">
        <v>720</v>
      </c>
      <c r="C1060" s="907"/>
      <c r="D1060" s="291"/>
    </row>
    <row r="1061" spans="1:4" ht="13.2">
      <c r="A1061" s="17" t="s">
        <v>900</v>
      </c>
      <c r="B1061" s="18">
        <v>720</v>
      </c>
      <c r="C1061" s="907"/>
      <c r="D1061" s="291"/>
    </row>
    <row r="1062" spans="1:4" ht="13.2">
      <c r="A1062" s="17" t="s">
        <v>901</v>
      </c>
      <c r="B1062" s="18">
        <v>720</v>
      </c>
      <c r="C1062" s="907"/>
      <c r="D1062" s="291"/>
    </row>
    <row r="1063" spans="1:4" ht="13.2">
      <c r="A1063" s="17" t="s">
        <v>902</v>
      </c>
      <c r="B1063" s="18">
        <v>720</v>
      </c>
      <c r="C1063" s="907"/>
      <c r="D1063" s="291"/>
    </row>
    <row r="1064" spans="1:4" ht="13.2">
      <c r="A1064" s="17" t="s">
        <v>903</v>
      </c>
      <c r="B1064" s="18">
        <v>720</v>
      </c>
      <c r="C1064" s="907"/>
      <c r="D1064" s="291"/>
    </row>
    <row r="1065" spans="1:4" ht="13.2">
      <c r="A1065" s="17" t="s">
        <v>904</v>
      </c>
      <c r="B1065" s="18">
        <v>720</v>
      </c>
      <c r="C1065" s="907"/>
      <c r="D1065" s="291"/>
    </row>
    <row r="1066" spans="1:4" ht="13.2">
      <c r="A1066" s="17" t="s">
        <v>905</v>
      </c>
      <c r="B1066" s="18">
        <v>720</v>
      </c>
      <c r="C1066" s="907"/>
      <c r="D1066" s="291"/>
    </row>
    <row r="1067" spans="1:4" ht="13.2">
      <c r="A1067" s="17" t="s">
        <v>906</v>
      </c>
      <c r="B1067" s="18">
        <v>720</v>
      </c>
      <c r="C1067" s="907"/>
      <c r="D1067" s="291"/>
    </row>
    <row r="1068" spans="1:4" ht="13.2">
      <c r="A1068" s="17" t="s">
        <v>907</v>
      </c>
      <c r="B1068" s="18">
        <v>720</v>
      </c>
      <c r="C1068" s="907"/>
      <c r="D1068" s="291"/>
    </row>
    <row r="1069" spans="1:4" ht="13.2">
      <c r="A1069" s="17" t="s">
        <v>908</v>
      </c>
      <c r="B1069" s="18">
        <v>720</v>
      </c>
      <c r="C1069" s="907"/>
      <c r="D1069" s="291"/>
    </row>
    <row r="1070" spans="1:4" ht="13.2">
      <c r="A1070" s="17" t="s">
        <v>909</v>
      </c>
      <c r="B1070" s="18">
        <v>720</v>
      </c>
      <c r="C1070" s="907"/>
      <c r="D1070" s="291"/>
    </row>
    <row r="1071" spans="1:4" ht="13.2">
      <c r="A1071" s="17" t="s">
        <v>910</v>
      </c>
      <c r="B1071" s="18">
        <v>950</v>
      </c>
      <c r="C1071" s="907"/>
      <c r="D1071" s="291"/>
    </row>
    <row r="1072" spans="1:4" ht="13.2">
      <c r="A1072" s="17" t="s">
        <v>911</v>
      </c>
      <c r="B1072" s="18">
        <v>950</v>
      </c>
      <c r="C1072" s="907"/>
      <c r="D1072" s="291"/>
    </row>
    <row r="1073" spans="1:4" ht="13.2">
      <c r="A1073" s="17" t="s">
        <v>912</v>
      </c>
      <c r="B1073" s="18">
        <v>950</v>
      </c>
      <c r="C1073" s="907"/>
      <c r="D1073" s="291"/>
    </row>
    <row r="1074" spans="1:4" ht="13.2">
      <c r="A1074" s="17" t="s">
        <v>913</v>
      </c>
      <c r="B1074" s="18">
        <v>950</v>
      </c>
      <c r="C1074" s="907"/>
      <c r="D1074" s="291"/>
    </row>
    <row r="1075" spans="1:4" ht="13.2">
      <c r="A1075" s="17" t="s">
        <v>914</v>
      </c>
      <c r="B1075" s="18">
        <v>950</v>
      </c>
      <c r="C1075" s="907"/>
      <c r="D1075" s="291"/>
    </row>
    <row r="1076" spans="1:4" ht="13.2">
      <c r="A1076" s="17" t="s">
        <v>915</v>
      </c>
      <c r="B1076" s="18">
        <v>950</v>
      </c>
      <c r="C1076" s="907"/>
      <c r="D1076" s="291"/>
    </row>
    <row r="1077" spans="1:4" ht="13.2">
      <c r="A1077" s="17" t="s">
        <v>916</v>
      </c>
      <c r="B1077" s="18">
        <v>950</v>
      </c>
      <c r="C1077" s="907"/>
      <c r="D1077" s="291"/>
    </row>
    <row r="1078" spans="1:4" ht="13.2">
      <c r="A1078" s="17" t="s">
        <v>917</v>
      </c>
      <c r="B1078" s="18">
        <v>950</v>
      </c>
      <c r="C1078" s="907"/>
      <c r="D1078" s="291"/>
    </row>
    <row r="1079" spans="1:4" ht="13.2">
      <c r="A1079" s="17" t="s">
        <v>918</v>
      </c>
      <c r="B1079" s="18">
        <v>950</v>
      </c>
      <c r="C1079" s="907"/>
      <c r="D1079" s="291"/>
    </row>
    <row r="1080" spans="1:4" ht="13.2">
      <c r="A1080" s="17" t="s">
        <v>919</v>
      </c>
      <c r="B1080" s="18">
        <v>950</v>
      </c>
      <c r="C1080" s="907"/>
      <c r="D1080" s="291"/>
    </row>
    <row r="1081" spans="1:4" ht="13.2">
      <c r="A1081" s="17" t="s">
        <v>920</v>
      </c>
      <c r="B1081" s="18">
        <v>950</v>
      </c>
      <c r="C1081" s="907"/>
      <c r="D1081" s="291"/>
    </row>
    <row r="1082" spans="1:4" ht="13.2">
      <c r="A1082" s="17" t="s">
        <v>921</v>
      </c>
      <c r="B1082" s="18">
        <v>950</v>
      </c>
      <c r="C1082" s="907"/>
      <c r="D1082" s="291"/>
    </row>
    <row r="1083" spans="1:4" ht="13.2">
      <c r="A1083" s="17" t="s">
        <v>922</v>
      </c>
      <c r="B1083" s="18">
        <v>950</v>
      </c>
      <c r="C1083" s="907"/>
      <c r="D1083" s="291"/>
    </row>
    <row r="1084" spans="1:4" ht="13.2">
      <c r="A1084" s="17" t="s">
        <v>923</v>
      </c>
      <c r="B1084" s="18">
        <v>950</v>
      </c>
      <c r="C1084" s="907"/>
      <c r="D1084" s="291"/>
    </row>
    <row r="1085" spans="1:4" ht="13.2">
      <c r="A1085" s="17" t="s">
        <v>924</v>
      </c>
      <c r="B1085" s="18">
        <v>950</v>
      </c>
      <c r="C1085" s="907"/>
      <c r="D1085" s="291"/>
    </row>
    <row r="1086" spans="1:4" ht="14.25" customHeight="1">
      <c r="A1086" s="17" t="s">
        <v>925</v>
      </c>
      <c r="B1086" s="18">
        <v>950</v>
      </c>
      <c r="C1086" s="907"/>
      <c r="D1086" s="291"/>
    </row>
    <row r="1087" spans="1:4" ht="14.25" customHeight="1">
      <c r="A1087" s="17" t="s">
        <v>1535</v>
      </c>
      <c r="B1087" s="18">
        <v>1100</v>
      </c>
      <c r="C1087" s="907"/>
      <c r="D1087" s="292"/>
    </row>
    <row r="1088" spans="1:4" ht="14.25" customHeight="1">
      <c r="A1088" s="17" t="s">
        <v>1536</v>
      </c>
      <c r="B1088" s="18">
        <v>1100</v>
      </c>
      <c r="C1088" s="907"/>
      <c r="D1088" s="292"/>
    </row>
    <row r="1089" spans="1:4" ht="14.25" customHeight="1">
      <c r="A1089" s="17" t="s">
        <v>1537</v>
      </c>
      <c r="B1089" s="18">
        <v>1100</v>
      </c>
      <c r="C1089" s="907"/>
      <c r="D1089" s="292"/>
    </row>
    <row r="1090" spans="1:4" ht="14.25" customHeight="1">
      <c r="A1090" s="17" t="s">
        <v>1538</v>
      </c>
      <c r="B1090" s="18">
        <v>1100</v>
      </c>
      <c r="C1090" s="907"/>
      <c r="D1090" s="292"/>
    </row>
    <row r="1091" spans="1:4" ht="14.25" customHeight="1">
      <c r="A1091" s="17" t="s">
        <v>1539</v>
      </c>
      <c r="B1091" s="18">
        <v>1100</v>
      </c>
      <c r="C1091" s="907"/>
      <c r="D1091" s="292"/>
    </row>
    <row r="1092" spans="1:4" ht="14.25" customHeight="1">
      <c r="A1092" s="17" t="s">
        <v>1540</v>
      </c>
      <c r="B1092" s="18">
        <v>1100</v>
      </c>
      <c r="C1092" s="907"/>
      <c r="D1092" s="292"/>
    </row>
    <row r="1093" spans="1:4" ht="14.25" customHeight="1">
      <c r="A1093" s="17" t="s">
        <v>1541</v>
      </c>
      <c r="B1093" s="18">
        <v>1100</v>
      </c>
      <c r="C1093" s="907"/>
      <c r="D1093" s="292"/>
    </row>
    <row r="1094" spans="1:4" ht="14.25" customHeight="1">
      <c r="A1094" s="17" t="s">
        <v>1542</v>
      </c>
      <c r="B1094" s="18">
        <v>1100</v>
      </c>
      <c r="C1094" s="907"/>
      <c r="D1094" s="292"/>
    </row>
    <row r="1095" spans="1:4" ht="14.25" customHeight="1">
      <c r="A1095" s="17" t="s">
        <v>1543</v>
      </c>
      <c r="B1095" s="18">
        <v>1100</v>
      </c>
      <c r="C1095" s="907"/>
      <c r="D1095" s="292"/>
    </row>
    <row r="1096" spans="1:4" ht="14.25" customHeight="1">
      <c r="A1096" s="17" t="s">
        <v>1544</v>
      </c>
      <c r="B1096" s="18">
        <v>1100</v>
      </c>
      <c r="C1096" s="907"/>
      <c r="D1096" s="292"/>
    </row>
    <row r="1097" spans="1:4" ht="14.25" customHeight="1">
      <c r="A1097" s="17" t="s">
        <v>1545</v>
      </c>
      <c r="B1097" s="18">
        <v>1100</v>
      </c>
      <c r="C1097" s="907"/>
      <c r="D1097" s="292"/>
    </row>
    <row r="1098" spans="1:4" ht="14.25" customHeight="1">
      <c r="A1098" s="17" t="s">
        <v>1546</v>
      </c>
      <c r="B1098" s="18">
        <v>1100</v>
      </c>
      <c r="C1098" s="907"/>
      <c r="D1098" s="292"/>
    </row>
    <row r="1099" spans="1:4" ht="14.25" customHeight="1">
      <c r="A1099" s="17" t="s">
        <v>1547</v>
      </c>
      <c r="B1099" s="18">
        <v>1100</v>
      </c>
      <c r="C1099" s="907"/>
      <c r="D1099" s="292"/>
    </row>
    <row r="1100" spans="1:4" ht="14.25" customHeight="1">
      <c r="A1100" s="17" t="s">
        <v>1548</v>
      </c>
      <c r="B1100" s="18">
        <v>1100</v>
      </c>
      <c r="C1100" s="907"/>
      <c r="D1100" s="292"/>
    </row>
    <row r="1101" spans="1:4" ht="14.25" customHeight="1">
      <c r="A1101" s="17" t="s">
        <v>1549</v>
      </c>
      <c r="B1101" s="18">
        <v>1100</v>
      </c>
      <c r="C1101" s="907"/>
      <c r="D1101" s="292"/>
    </row>
    <row r="1102" spans="1:4" ht="14.25" customHeight="1">
      <c r="A1102" s="17" t="s">
        <v>1439</v>
      </c>
      <c r="B1102" s="18">
        <v>1100</v>
      </c>
      <c r="C1102" s="907"/>
      <c r="D1102" s="292"/>
    </row>
    <row r="1103" spans="1:4" ht="14.25" customHeight="1">
      <c r="A1103" s="17" t="s">
        <v>1550</v>
      </c>
      <c r="B1103" s="18">
        <v>900</v>
      </c>
      <c r="C1103" s="907"/>
      <c r="D1103" s="292"/>
    </row>
    <row r="1104" spans="1:4" ht="14.25" customHeight="1">
      <c r="A1104" s="17" t="s">
        <v>1551</v>
      </c>
      <c r="B1104" s="18">
        <v>900</v>
      </c>
      <c r="C1104" s="907"/>
      <c r="D1104" s="292"/>
    </row>
    <row r="1105" spans="1:4" ht="14.25" customHeight="1">
      <c r="A1105" s="17" t="s">
        <v>1552</v>
      </c>
      <c r="B1105" s="18">
        <v>900</v>
      </c>
      <c r="C1105" s="907"/>
      <c r="D1105" s="292"/>
    </row>
    <row r="1106" spans="1:4" ht="14.25" customHeight="1">
      <c r="A1106" s="17" t="s">
        <v>1553</v>
      </c>
      <c r="B1106" s="18">
        <v>900</v>
      </c>
      <c r="C1106" s="907"/>
      <c r="D1106" s="292"/>
    </row>
    <row r="1107" spans="1:4" ht="14.25" customHeight="1">
      <c r="A1107" s="17" t="s">
        <v>1554</v>
      </c>
      <c r="B1107" s="18">
        <v>900</v>
      </c>
      <c r="C1107" s="907"/>
      <c r="D1107" s="292"/>
    </row>
    <row r="1108" spans="1:4" ht="14.25" customHeight="1">
      <c r="A1108" s="17" t="s">
        <v>1555</v>
      </c>
      <c r="B1108" s="18">
        <v>900</v>
      </c>
      <c r="C1108" s="907"/>
      <c r="D1108" s="292"/>
    </row>
    <row r="1109" spans="1:4" ht="14.25" customHeight="1">
      <c r="A1109" s="17" t="s">
        <v>1556</v>
      </c>
      <c r="B1109" s="18">
        <v>900</v>
      </c>
      <c r="C1109" s="907"/>
      <c r="D1109" s="292"/>
    </row>
    <row r="1110" spans="1:4" ht="14.25" customHeight="1">
      <c r="A1110" s="17" t="s">
        <v>1557</v>
      </c>
      <c r="B1110" s="18">
        <v>900</v>
      </c>
      <c r="C1110" s="907"/>
      <c r="D1110" s="292"/>
    </row>
    <row r="1111" spans="1:4" ht="14.25" customHeight="1">
      <c r="A1111" s="17" t="s">
        <v>1558</v>
      </c>
      <c r="B1111" s="18">
        <v>900</v>
      </c>
      <c r="C1111" s="907"/>
      <c r="D1111" s="292"/>
    </row>
    <row r="1112" spans="1:4" ht="14.25" customHeight="1">
      <c r="A1112" s="17" t="s">
        <v>1559</v>
      </c>
      <c r="B1112" s="18">
        <v>900</v>
      </c>
      <c r="C1112" s="907"/>
      <c r="D1112" s="292"/>
    </row>
    <row r="1113" spans="1:4" ht="14.25" customHeight="1">
      <c r="A1113" s="17" t="s">
        <v>1560</v>
      </c>
      <c r="B1113" s="18">
        <v>900</v>
      </c>
      <c r="C1113" s="907"/>
      <c r="D1113" s="292"/>
    </row>
    <row r="1114" spans="1:4" ht="14.25" customHeight="1">
      <c r="A1114" s="17" t="s">
        <v>1561</v>
      </c>
      <c r="B1114" s="18">
        <v>900</v>
      </c>
      <c r="C1114" s="907"/>
      <c r="D1114" s="292"/>
    </row>
    <row r="1115" spans="1:4" ht="14.25" customHeight="1">
      <c r="A1115" s="17" t="s">
        <v>1562</v>
      </c>
      <c r="B1115" s="18">
        <v>900</v>
      </c>
      <c r="C1115" s="907"/>
      <c r="D1115" s="292"/>
    </row>
    <row r="1116" spans="1:4" ht="14.25" customHeight="1">
      <c r="A1116" s="17" t="s">
        <v>1563</v>
      </c>
      <c r="B1116" s="18">
        <v>900</v>
      </c>
      <c r="C1116" s="907"/>
      <c r="D1116" s="292"/>
    </row>
    <row r="1117" spans="1:4" ht="14.25" customHeight="1">
      <c r="A1117" s="17" t="s">
        <v>1564</v>
      </c>
      <c r="B1117" s="18">
        <v>900</v>
      </c>
      <c r="C1117" s="907"/>
      <c r="D1117" s="292"/>
    </row>
    <row r="1118" spans="1:4" ht="14.25" customHeight="1">
      <c r="A1118" s="17" t="s">
        <v>1440</v>
      </c>
      <c r="B1118" s="18">
        <v>900</v>
      </c>
      <c r="C1118" s="907"/>
      <c r="D1118" s="292"/>
    </row>
    <row r="1119" spans="1:4" ht="13.2">
      <c r="A1119" s="17" t="s">
        <v>926</v>
      </c>
      <c r="B1119" s="18">
        <v>520</v>
      </c>
      <c r="C1119" s="907"/>
      <c r="D1119" s="291"/>
    </row>
    <row r="1120" spans="1:4" ht="13.2">
      <c r="A1120" s="17" t="s">
        <v>927</v>
      </c>
      <c r="B1120" s="18">
        <v>520</v>
      </c>
      <c r="C1120" s="907"/>
      <c r="D1120" s="291"/>
    </row>
    <row r="1121" spans="1:4" ht="13.2">
      <c r="A1121" s="17" t="s">
        <v>928</v>
      </c>
      <c r="B1121" s="18">
        <v>520</v>
      </c>
      <c r="C1121" s="907"/>
      <c r="D1121" s="291"/>
    </row>
    <row r="1122" spans="1:4" ht="13.2">
      <c r="A1122" s="17" t="s">
        <v>929</v>
      </c>
      <c r="B1122" s="18">
        <v>520</v>
      </c>
      <c r="C1122" s="907"/>
      <c r="D1122" s="291"/>
    </row>
    <row r="1123" spans="1:4" ht="13.2">
      <c r="A1123" s="17" t="s">
        <v>930</v>
      </c>
      <c r="B1123" s="18">
        <v>520</v>
      </c>
      <c r="C1123" s="907"/>
      <c r="D1123" s="291"/>
    </row>
    <row r="1124" spans="1:4" ht="13.2">
      <c r="A1124" s="17" t="s">
        <v>931</v>
      </c>
      <c r="B1124" s="18">
        <v>520</v>
      </c>
      <c r="C1124" s="907"/>
      <c r="D1124" s="291"/>
    </row>
    <row r="1125" spans="1:4" ht="13.2">
      <c r="A1125" s="17" t="s">
        <v>932</v>
      </c>
      <c r="B1125" s="18">
        <v>520</v>
      </c>
      <c r="C1125" s="907"/>
      <c r="D1125" s="291"/>
    </row>
    <row r="1126" spans="1:4" ht="13.2">
      <c r="A1126" s="17" t="s">
        <v>933</v>
      </c>
      <c r="B1126" s="18">
        <v>520</v>
      </c>
      <c r="C1126" s="907"/>
      <c r="D1126" s="291"/>
    </row>
    <row r="1127" spans="1:4" ht="13.2">
      <c r="A1127" s="17" t="s">
        <v>934</v>
      </c>
      <c r="B1127" s="18">
        <v>520</v>
      </c>
      <c r="C1127" s="907"/>
      <c r="D1127" s="291"/>
    </row>
    <row r="1128" spans="1:4" ht="13.2">
      <c r="A1128" s="17" t="s">
        <v>935</v>
      </c>
      <c r="B1128" s="18">
        <v>520</v>
      </c>
      <c r="C1128" s="907"/>
      <c r="D1128" s="291"/>
    </row>
    <row r="1129" spans="1:4" ht="13.2">
      <c r="A1129" s="17" t="s">
        <v>936</v>
      </c>
      <c r="B1129" s="18">
        <v>520</v>
      </c>
      <c r="C1129" s="907"/>
      <c r="D1129" s="291"/>
    </row>
    <row r="1130" spans="1:4" ht="13.2">
      <c r="A1130" s="17" t="s">
        <v>937</v>
      </c>
      <c r="B1130" s="18">
        <v>520</v>
      </c>
      <c r="C1130" s="907"/>
      <c r="D1130" s="291"/>
    </row>
    <row r="1131" spans="1:4" ht="13.2">
      <c r="A1131" s="17" t="s">
        <v>938</v>
      </c>
      <c r="B1131" s="18">
        <v>520</v>
      </c>
      <c r="C1131" s="907"/>
      <c r="D1131" s="291"/>
    </row>
    <row r="1132" spans="1:4" ht="13.2">
      <c r="A1132" s="17" t="s">
        <v>939</v>
      </c>
      <c r="B1132" s="18">
        <v>520</v>
      </c>
      <c r="C1132" s="907"/>
      <c r="D1132" s="291"/>
    </row>
    <row r="1133" spans="1:4" ht="13.2">
      <c r="A1133" s="17" t="s">
        <v>940</v>
      </c>
      <c r="B1133" s="18">
        <v>520</v>
      </c>
      <c r="C1133" s="907"/>
      <c r="D1133" s="291"/>
    </row>
    <row r="1134" spans="1:4" ht="13.2">
      <c r="A1134" s="17" t="s">
        <v>941</v>
      </c>
      <c r="B1134" s="18">
        <v>520</v>
      </c>
      <c r="C1134" s="907"/>
      <c r="D1134" s="291"/>
    </row>
    <row r="1135" spans="1:4" ht="13.2">
      <c r="A1135" s="17" t="s">
        <v>942</v>
      </c>
      <c r="B1135" s="18">
        <v>570</v>
      </c>
      <c r="C1135" s="907"/>
      <c r="D1135" s="291"/>
    </row>
    <row r="1136" spans="1:4" ht="13.2">
      <c r="A1136" s="17" t="s">
        <v>943</v>
      </c>
      <c r="B1136" s="18">
        <v>570</v>
      </c>
      <c r="C1136" s="907"/>
      <c r="D1136" s="291"/>
    </row>
    <row r="1137" spans="1:4" ht="13.2">
      <c r="A1137" s="17" t="s">
        <v>944</v>
      </c>
      <c r="B1137" s="18">
        <v>570</v>
      </c>
      <c r="C1137" s="907"/>
      <c r="D1137" s="291"/>
    </row>
    <row r="1138" spans="1:4" ht="13.2">
      <c r="A1138" s="17" t="s">
        <v>945</v>
      </c>
      <c r="B1138" s="18">
        <v>570</v>
      </c>
      <c r="C1138" s="907"/>
      <c r="D1138" s="291"/>
    </row>
    <row r="1139" spans="1:4" ht="13.2">
      <c r="A1139" s="17" t="s">
        <v>946</v>
      </c>
      <c r="B1139" s="18">
        <v>570</v>
      </c>
      <c r="C1139" s="907"/>
      <c r="D1139" s="291"/>
    </row>
    <row r="1140" spans="1:4" ht="13.2">
      <c r="A1140" s="17" t="s">
        <v>947</v>
      </c>
      <c r="B1140" s="18">
        <v>570</v>
      </c>
      <c r="C1140" s="907"/>
      <c r="D1140" s="291"/>
    </row>
    <row r="1141" spans="1:4" ht="13.2">
      <c r="A1141" s="17" t="s">
        <v>948</v>
      </c>
      <c r="B1141" s="18">
        <v>570</v>
      </c>
      <c r="C1141" s="907"/>
      <c r="D1141" s="291"/>
    </row>
    <row r="1142" spans="1:4" ht="13.2">
      <c r="A1142" s="17" t="s">
        <v>949</v>
      </c>
      <c r="B1142" s="18">
        <v>570</v>
      </c>
      <c r="C1142" s="907"/>
      <c r="D1142" s="291"/>
    </row>
    <row r="1143" spans="1:4" ht="13.2">
      <c r="A1143" s="17" t="s">
        <v>950</v>
      </c>
      <c r="B1143" s="18">
        <v>570</v>
      </c>
      <c r="C1143" s="907"/>
      <c r="D1143" s="291"/>
    </row>
    <row r="1144" spans="1:4" ht="13.2">
      <c r="A1144" s="17" t="s">
        <v>951</v>
      </c>
      <c r="B1144" s="18">
        <v>570</v>
      </c>
      <c r="C1144" s="907"/>
      <c r="D1144" s="291"/>
    </row>
    <row r="1145" spans="1:4" ht="13.2">
      <c r="A1145" s="17" t="s">
        <v>952</v>
      </c>
      <c r="B1145" s="18">
        <v>570</v>
      </c>
      <c r="C1145" s="907"/>
      <c r="D1145" s="291"/>
    </row>
    <row r="1146" spans="1:4" ht="13.2">
      <c r="A1146" s="17" t="s">
        <v>953</v>
      </c>
      <c r="B1146" s="18">
        <v>570</v>
      </c>
      <c r="C1146" s="907"/>
      <c r="D1146" s="291"/>
    </row>
    <row r="1147" spans="1:4" ht="13.2">
      <c r="A1147" s="17" t="s">
        <v>954</v>
      </c>
      <c r="B1147" s="18">
        <v>570</v>
      </c>
      <c r="C1147" s="907"/>
      <c r="D1147" s="291"/>
    </row>
    <row r="1148" spans="1:4" ht="13.2">
      <c r="A1148" s="17" t="s">
        <v>955</v>
      </c>
      <c r="B1148" s="18">
        <v>570</v>
      </c>
      <c r="C1148" s="907"/>
      <c r="D1148" s="291"/>
    </row>
    <row r="1149" spans="1:4" ht="13.2">
      <c r="A1149" s="17" t="s">
        <v>956</v>
      </c>
      <c r="B1149" s="18">
        <v>570</v>
      </c>
      <c r="C1149" s="907"/>
      <c r="D1149" s="291"/>
    </row>
    <row r="1150" spans="1:4" ht="13.2">
      <c r="A1150" s="17" t="s">
        <v>957</v>
      </c>
      <c r="B1150" s="18">
        <v>570</v>
      </c>
      <c r="C1150" s="907"/>
      <c r="D1150" s="291"/>
    </row>
    <row r="1151" spans="1:4" ht="13.2">
      <c r="A1151" s="17" t="s">
        <v>1505</v>
      </c>
      <c r="B1151" s="18">
        <v>330</v>
      </c>
      <c r="C1151" s="907"/>
      <c r="D1151" s="292"/>
    </row>
    <row r="1152" spans="1:4" ht="13.2">
      <c r="A1152" s="17" t="s">
        <v>1506</v>
      </c>
      <c r="B1152" s="18">
        <v>330</v>
      </c>
      <c r="C1152" s="907"/>
      <c r="D1152" s="292"/>
    </row>
    <row r="1153" spans="1:4" ht="13.2">
      <c r="A1153" s="17" t="s">
        <v>1507</v>
      </c>
      <c r="B1153" s="18">
        <v>330</v>
      </c>
      <c r="C1153" s="907"/>
      <c r="D1153" s="292"/>
    </row>
    <row r="1154" spans="1:4" ht="13.2">
      <c r="A1154" s="17" t="s">
        <v>1508</v>
      </c>
      <c r="B1154" s="18">
        <v>330</v>
      </c>
      <c r="C1154" s="907"/>
      <c r="D1154" s="292"/>
    </row>
    <row r="1155" spans="1:4" ht="13.2">
      <c r="A1155" s="17" t="s">
        <v>1509</v>
      </c>
      <c r="B1155" s="18">
        <v>330</v>
      </c>
      <c r="C1155" s="907"/>
      <c r="D1155" s="292"/>
    </row>
    <row r="1156" spans="1:4" ht="13.2">
      <c r="A1156" s="17" t="s">
        <v>1510</v>
      </c>
      <c r="B1156" s="18">
        <v>330</v>
      </c>
      <c r="C1156" s="907"/>
      <c r="D1156" s="292"/>
    </row>
    <row r="1157" spans="1:4" ht="13.2">
      <c r="A1157" s="17" t="s">
        <v>1511</v>
      </c>
      <c r="B1157" s="18">
        <v>330</v>
      </c>
      <c r="C1157" s="907"/>
      <c r="D1157" s="292"/>
    </row>
    <row r="1158" spans="1:4" ht="13.2">
      <c r="A1158" s="17" t="s">
        <v>1512</v>
      </c>
      <c r="B1158" s="18">
        <v>330</v>
      </c>
      <c r="C1158" s="907"/>
      <c r="D1158" s="292"/>
    </row>
    <row r="1159" spans="1:4" ht="13.2">
      <c r="A1159" s="17" t="s">
        <v>1513</v>
      </c>
      <c r="B1159" s="18">
        <v>330</v>
      </c>
      <c r="C1159" s="907"/>
      <c r="D1159" s="292"/>
    </row>
    <row r="1160" spans="1:4" ht="13.2">
      <c r="A1160" s="17" t="s">
        <v>1514</v>
      </c>
      <c r="B1160" s="18">
        <v>330</v>
      </c>
      <c r="C1160" s="907"/>
      <c r="D1160" s="292"/>
    </row>
    <row r="1161" spans="1:4" ht="13.2">
      <c r="A1161" s="17" t="s">
        <v>1515</v>
      </c>
      <c r="B1161" s="18">
        <v>330</v>
      </c>
      <c r="C1161" s="907"/>
      <c r="D1161" s="292"/>
    </row>
    <row r="1162" spans="1:4" ht="13.2">
      <c r="A1162" s="17" t="s">
        <v>1516</v>
      </c>
      <c r="B1162" s="18">
        <v>330</v>
      </c>
      <c r="C1162" s="907"/>
      <c r="D1162" s="292"/>
    </row>
    <row r="1163" spans="1:4" ht="13.2">
      <c r="A1163" s="17" t="s">
        <v>1517</v>
      </c>
      <c r="B1163" s="18">
        <v>330</v>
      </c>
      <c r="C1163" s="907"/>
      <c r="D1163" s="292"/>
    </row>
    <row r="1164" spans="1:4" ht="13.2">
      <c r="A1164" s="17" t="s">
        <v>1518</v>
      </c>
      <c r="B1164" s="18">
        <v>330</v>
      </c>
      <c r="C1164" s="907"/>
      <c r="D1164" s="292"/>
    </row>
    <row r="1165" spans="1:4" ht="13.2">
      <c r="A1165" s="17" t="s">
        <v>1519</v>
      </c>
      <c r="B1165" s="18">
        <v>330</v>
      </c>
      <c r="C1165" s="907"/>
      <c r="D1165" s="292"/>
    </row>
    <row r="1166" spans="1:4" ht="13.2">
      <c r="A1166" s="17" t="s">
        <v>1433</v>
      </c>
      <c r="B1166" s="18">
        <v>330</v>
      </c>
      <c r="C1166" s="907"/>
      <c r="D1166" s="292"/>
    </row>
    <row r="1167" spans="1:4" ht="13.2">
      <c r="A1167" s="17" t="s">
        <v>958</v>
      </c>
      <c r="B1167" s="18">
        <v>380</v>
      </c>
      <c r="C1167" s="907"/>
      <c r="D1167" s="291"/>
    </row>
    <row r="1168" spans="1:4" ht="13.2">
      <c r="A1168" s="17" t="s">
        <v>959</v>
      </c>
      <c r="B1168" s="18">
        <v>380</v>
      </c>
      <c r="C1168" s="907"/>
      <c r="D1168" s="291"/>
    </row>
    <row r="1169" spans="1:4" ht="13.2">
      <c r="A1169" s="17" t="s">
        <v>960</v>
      </c>
      <c r="B1169" s="18">
        <v>380</v>
      </c>
      <c r="C1169" s="907"/>
      <c r="D1169" s="291"/>
    </row>
    <row r="1170" spans="1:4" ht="13.2">
      <c r="A1170" s="17" t="s">
        <v>961</v>
      </c>
      <c r="B1170" s="18">
        <v>380</v>
      </c>
      <c r="C1170" s="907"/>
      <c r="D1170" s="291"/>
    </row>
    <row r="1171" spans="1:4" ht="13.2">
      <c r="A1171" s="17" t="s">
        <v>962</v>
      </c>
      <c r="B1171" s="18">
        <v>380</v>
      </c>
      <c r="C1171" s="907"/>
      <c r="D1171" s="291"/>
    </row>
    <row r="1172" spans="1:4" ht="13.2">
      <c r="A1172" s="17" t="s">
        <v>963</v>
      </c>
      <c r="B1172" s="18">
        <v>380</v>
      </c>
      <c r="C1172" s="907"/>
      <c r="D1172" s="291"/>
    </row>
    <row r="1173" spans="1:4" ht="13.2">
      <c r="A1173" s="17" t="s">
        <v>964</v>
      </c>
      <c r="B1173" s="18">
        <v>380</v>
      </c>
      <c r="C1173" s="907"/>
      <c r="D1173" s="291"/>
    </row>
    <row r="1174" spans="1:4" ht="13.2">
      <c r="A1174" s="17" t="s">
        <v>965</v>
      </c>
      <c r="B1174" s="18">
        <v>380</v>
      </c>
      <c r="C1174" s="907"/>
      <c r="D1174" s="291"/>
    </row>
    <row r="1175" spans="1:4" ht="13.2">
      <c r="A1175" s="17" t="s">
        <v>966</v>
      </c>
      <c r="B1175" s="18">
        <v>380</v>
      </c>
      <c r="C1175" s="907"/>
      <c r="D1175" s="291"/>
    </row>
    <row r="1176" spans="1:4" ht="13.2">
      <c r="A1176" s="17" t="s">
        <v>967</v>
      </c>
      <c r="B1176" s="18">
        <v>380</v>
      </c>
      <c r="C1176" s="907"/>
      <c r="D1176" s="291"/>
    </row>
    <row r="1177" spans="1:4" ht="13.2">
      <c r="A1177" s="17" t="s">
        <v>968</v>
      </c>
      <c r="B1177" s="18">
        <v>380</v>
      </c>
      <c r="C1177" s="907"/>
      <c r="D1177" s="291"/>
    </row>
    <row r="1178" spans="1:4" ht="13.2">
      <c r="A1178" s="17" t="s">
        <v>969</v>
      </c>
      <c r="B1178" s="18">
        <v>380</v>
      </c>
      <c r="C1178" s="907"/>
      <c r="D1178" s="291"/>
    </row>
    <row r="1179" spans="1:4" ht="13.2">
      <c r="A1179" s="17" t="s">
        <v>970</v>
      </c>
      <c r="B1179" s="18">
        <v>380</v>
      </c>
      <c r="C1179" s="907"/>
      <c r="D1179" s="291"/>
    </row>
    <row r="1180" spans="1:4" ht="13.2">
      <c r="A1180" s="17" t="s">
        <v>971</v>
      </c>
      <c r="B1180" s="18">
        <v>380</v>
      </c>
      <c r="C1180" s="907"/>
      <c r="D1180" s="291"/>
    </row>
    <row r="1181" spans="1:4" ht="13.2">
      <c r="A1181" s="17" t="s">
        <v>972</v>
      </c>
      <c r="B1181" s="18">
        <v>380</v>
      </c>
      <c r="C1181" s="907"/>
      <c r="D1181" s="291"/>
    </row>
    <row r="1182" spans="1:4" ht="13.2">
      <c r="A1182" s="17" t="s">
        <v>973</v>
      </c>
      <c r="B1182" s="18">
        <v>380</v>
      </c>
      <c r="C1182" s="907"/>
      <c r="D1182" s="291"/>
    </row>
    <row r="1183" spans="1:4" ht="13.2">
      <c r="A1183" s="17" t="s">
        <v>974</v>
      </c>
      <c r="B1183" s="18">
        <v>430</v>
      </c>
      <c r="C1183" s="907"/>
      <c r="D1183" s="291"/>
    </row>
    <row r="1184" spans="1:4" ht="13.2">
      <c r="A1184" s="17" t="s">
        <v>975</v>
      </c>
      <c r="B1184" s="18">
        <v>430</v>
      </c>
      <c r="C1184" s="907"/>
      <c r="D1184" s="291"/>
    </row>
    <row r="1185" spans="1:4" ht="13.2">
      <c r="A1185" s="17" t="s">
        <v>976</v>
      </c>
      <c r="B1185" s="18">
        <v>430</v>
      </c>
      <c r="C1185" s="907"/>
      <c r="D1185" s="291"/>
    </row>
    <row r="1186" spans="1:4" ht="13.2">
      <c r="A1186" s="17" t="s">
        <v>977</v>
      </c>
      <c r="B1186" s="18">
        <v>430</v>
      </c>
      <c r="C1186" s="907"/>
      <c r="D1186" s="291"/>
    </row>
    <row r="1187" spans="1:4" ht="13.2">
      <c r="A1187" s="17" t="s">
        <v>978</v>
      </c>
      <c r="B1187" s="18">
        <v>430</v>
      </c>
      <c r="C1187" s="907"/>
      <c r="D1187" s="291"/>
    </row>
    <row r="1188" spans="1:4" ht="13.2">
      <c r="A1188" s="17" t="s">
        <v>979</v>
      </c>
      <c r="B1188" s="18">
        <v>430</v>
      </c>
      <c r="C1188" s="907"/>
      <c r="D1188" s="291"/>
    </row>
    <row r="1189" spans="1:4" ht="13.2">
      <c r="A1189" s="17" t="s">
        <v>980</v>
      </c>
      <c r="B1189" s="18">
        <v>430</v>
      </c>
      <c r="C1189" s="907"/>
      <c r="D1189" s="291"/>
    </row>
    <row r="1190" spans="1:4" ht="13.2">
      <c r="A1190" s="17" t="s">
        <v>981</v>
      </c>
      <c r="B1190" s="18">
        <v>430</v>
      </c>
      <c r="C1190" s="907"/>
      <c r="D1190" s="291"/>
    </row>
    <row r="1191" spans="1:4" ht="13.2">
      <c r="A1191" s="17" t="s">
        <v>982</v>
      </c>
      <c r="B1191" s="18">
        <v>430</v>
      </c>
      <c r="C1191" s="907"/>
      <c r="D1191" s="291"/>
    </row>
    <row r="1192" spans="1:4" ht="13.2">
      <c r="A1192" s="17" t="s">
        <v>983</v>
      </c>
      <c r="B1192" s="18">
        <v>430</v>
      </c>
      <c r="C1192" s="907"/>
      <c r="D1192" s="291"/>
    </row>
    <row r="1193" spans="1:4" ht="13.2">
      <c r="A1193" s="17" t="s">
        <v>984</v>
      </c>
      <c r="B1193" s="18">
        <v>430</v>
      </c>
      <c r="C1193" s="907"/>
      <c r="D1193" s="291"/>
    </row>
    <row r="1194" spans="1:4" ht="13.2">
      <c r="A1194" s="17" t="s">
        <v>985</v>
      </c>
      <c r="B1194" s="18">
        <v>430</v>
      </c>
      <c r="C1194" s="907"/>
      <c r="D1194" s="291"/>
    </row>
    <row r="1195" spans="1:4" ht="13.2">
      <c r="A1195" s="17" t="s">
        <v>986</v>
      </c>
      <c r="B1195" s="18">
        <v>430</v>
      </c>
      <c r="C1195" s="907"/>
      <c r="D1195" s="291"/>
    </row>
    <row r="1196" spans="1:4" ht="13.2">
      <c r="A1196" s="17" t="s">
        <v>987</v>
      </c>
      <c r="B1196" s="18">
        <v>430</v>
      </c>
      <c r="C1196" s="907"/>
      <c r="D1196" s="291"/>
    </row>
    <row r="1197" spans="1:4" ht="13.2">
      <c r="A1197" s="17" t="s">
        <v>988</v>
      </c>
      <c r="B1197" s="18">
        <v>430</v>
      </c>
      <c r="C1197" s="907"/>
      <c r="D1197" s="291"/>
    </row>
    <row r="1198" spans="1:4" ht="13.2">
      <c r="A1198" s="17" t="s">
        <v>989</v>
      </c>
      <c r="B1198" s="18">
        <v>430</v>
      </c>
      <c r="C1198" s="907"/>
      <c r="D1198" s="291"/>
    </row>
    <row r="1199" spans="1:4" ht="13.2">
      <c r="A1199" s="17" t="s">
        <v>990</v>
      </c>
      <c r="B1199" s="18">
        <v>550</v>
      </c>
      <c r="C1199" s="907"/>
      <c r="D1199" s="291"/>
    </row>
    <row r="1200" spans="1:4" ht="13.2">
      <c r="A1200" s="17" t="s">
        <v>991</v>
      </c>
      <c r="B1200" s="18">
        <v>550</v>
      </c>
      <c r="C1200" s="907"/>
      <c r="D1200" s="291"/>
    </row>
    <row r="1201" spans="1:4" ht="13.2">
      <c r="A1201" s="17" t="s">
        <v>992</v>
      </c>
      <c r="B1201" s="18">
        <v>550</v>
      </c>
      <c r="C1201" s="907"/>
      <c r="D1201" s="291"/>
    </row>
    <row r="1202" spans="1:4" ht="13.2">
      <c r="A1202" s="17" t="s">
        <v>993</v>
      </c>
      <c r="B1202" s="18">
        <v>550</v>
      </c>
      <c r="C1202" s="907"/>
      <c r="D1202" s="291"/>
    </row>
    <row r="1203" spans="1:4" ht="13.2">
      <c r="A1203" s="17" t="s">
        <v>994</v>
      </c>
      <c r="B1203" s="18">
        <v>550</v>
      </c>
      <c r="C1203" s="907"/>
      <c r="D1203" s="291"/>
    </row>
    <row r="1204" spans="1:4" ht="13.2">
      <c r="A1204" s="17" t="s">
        <v>995</v>
      </c>
      <c r="B1204" s="18">
        <v>550</v>
      </c>
      <c r="C1204" s="907"/>
      <c r="D1204" s="291"/>
    </row>
    <row r="1205" spans="1:4" ht="13.2">
      <c r="A1205" s="17" t="s">
        <v>996</v>
      </c>
      <c r="B1205" s="18">
        <v>550</v>
      </c>
      <c r="C1205" s="907"/>
      <c r="D1205" s="291"/>
    </row>
    <row r="1206" spans="1:4" ht="13.2">
      <c r="A1206" s="17" t="s">
        <v>997</v>
      </c>
      <c r="B1206" s="18">
        <v>550</v>
      </c>
      <c r="C1206" s="907"/>
      <c r="D1206" s="291"/>
    </row>
    <row r="1207" spans="1:4" ht="13.2">
      <c r="A1207" s="17" t="s">
        <v>998</v>
      </c>
      <c r="B1207" s="18">
        <v>550</v>
      </c>
      <c r="C1207" s="907"/>
      <c r="D1207" s="291"/>
    </row>
    <row r="1208" spans="1:4" ht="13.2">
      <c r="A1208" s="17" t="s">
        <v>999</v>
      </c>
      <c r="B1208" s="18">
        <v>550</v>
      </c>
      <c r="C1208" s="907"/>
      <c r="D1208" s="291"/>
    </row>
    <row r="1209" spans="1:4" ht="13.2">
      <c r="A1209" s="17" t="s">
        <v>1000</v>
      </c>
      <c r="B1209" s="18">
        <v>550</v>
      </c>
      <c r="C1209" s="907"/>
      <c r="D1209" s="291"/>
    </row>
    <row r="1210" spans="1:4" ht="13.2">
      <c r="A1210" s="17" t="s">
        <v>1001</v>
      </c>
      <c r="B1210" s="18">
        <v>550</v>
      </c>
      <c r="C1210" s="907"/>
      <c r="D1210" s="291"/>
    </row>
    <row r="1211" spans="1:4" ht="13.2">
      <c r="A1211" s="17" t="s">
        <v>1002</v>
      </c>
      <c r="B1211" s="18">
        <v>550</v>
      </c>
      <c r="C1211" s="907"/>
      <c r="D1211" s="291"/>
    </row>
    <row r="1212" spans="1:4" ht="13.2">
      <c r="A1212" s="17" t="s">
        <v>1003</v>
      </c>
      <c r="B1212" s="18">
        <v>550</v>
      </c>
      <c r="C1212" s="907"/>
      <c r="D1212" s="291"/>
    </row>
    <row r="1213" spans="1:4" ht="13.2">
      <c r="A1213" s="17" t="s">
        <v>1004</v>
      </c>
      <c r="B1213" s="18">
        <v>550</v>
      </c>
      <c r="C1213" s="907"/>
      <c r="D1213" s="291"/>
    </row>
    <row r="1214" spans="1:4" ht="13.2">
      <c r="A1214" s="17" t="s">
        <v>1005</v>
      </c>
      <c r="B1214" s="18">
        <v>550</v>
      </c>
      <c r="C1214" s="907"/>
      <c r="D1214" s="291"/>
    </row>
    <row r="1215" spans="1:4" ht="13.2">
      <c r="A1215" s="17" t="s">
        <v>1520</v>
      </c>
      <c r="B1215" s="18">
        <v>640</v>
      </c>
      <c r="C1215" s="907"/>
      <c r="D1215" s="292"/>
    </row>
    <row r="1216" spans="1:4" ht="13.2">
      <c r="A1216" s="17" t="s">
        <v>1521</v>
      </c>
      <c r="B1216" s="18">
        <v>640</v>
      </c>
      <c r="C1216" s="907"/>
      <c r="D1216" s="292"/>
    </row>
    <row r="1217" spans="1:4" ht="13.2">
      <c r="A1217" s="17" t="s">
        <v>1522</v>
      </c>
      <c r="B1217" s="18">
        <v>640</v>
      </c>
      <c r="C1217" s="907"/>
      <c r="D1217" s="292"/>
    </row>
    <row r="1218" spans="1:4" ht="13.2">
      <c r="A1218" s="17" t="s">
        <v>1523</v>
      </c>
      <c r="B1218" s="18">
        <v>640</v>
      </c>
      <c r="C1218" s="907"/>
      <c r="D1218" s="292"/>
    </row>
    <row r="1219" spans="1:4" ht="13.2">
      <c r="A1219" s="17" t="s">
        <v>1524</v>
      </c>
      <c r="B1219" s="18">
        <v>640</v>
      </c>
      <c r="C1219" s="907"/>
      <c r="D1219" s="292"/>
    </row>
    <row r="1220" spans="1:4" ht="13.2">
      <c r="A1220" s="17" t="s">
        <v>1525</v>
      </c>
      <c r="B1220" s="18">
        <v>640</v>
      </c>
      <c r="C1220" s="907"/>
      <c r="D1220" s="292"/>
    </row>
    <row r="1221" spans="1:4" ht="13.2">
      <c r="A1221" s="17" t="s">
        <v>1526</v>
      </c>
      <c r="B1221" s="18">
        <v>640</v>
      </c>
      <c r="C1221" s="907"/>
      <c r="D1221" s="292"/>
    </row>
    <row r="1222" spans="1:4" ht="13.2">
      <c r="A1222" s="17" t="s">
        <v>1527</v>
      </c>
      <c r="B1222" s="18">
        <v>640</v>
      </c>
      <c r="C1222" s="907"/>
      <c r="D1222" s="292"/>
    </row>
    <row r="1223" spans="1:4" ht="13.2">
      <c r="A1223" s="17" t="s">
        <v>1528</v>
      </c>
      <c r="B1223" s="18">
        <v>640</v>
      </c>
      <c r="C1223" s="907"/>
      <c r="D1223" s="292"/>
    </row>
    <row r="1224" spans="1:4" ht="13.2">
      <c r="A1224" s="17" t="s">
        <v>1529</v>
      </c>
      <c r="B1224" s="18">
        <v>640</v>
      </c>
      <c r="C1224" s="907"/>
      <c r="D1224" s="292"/>
    </row>
    <row r="1225" spans="1:4" ht="13.2">
      <c r="A1225" s="17" t="s">
        <v>1530</v>
      </c>
      <c r="B1225" s="18">
        <v>640</v>
      </c>
      <c r="C1225" s="907"/>
      <c r="D1225" s="292"/>
    </row>
    <row r="1226" spans="1:4" ht="13.2">
      <c r="A1226" s="17" t="s">
        <v>1531</v>
      </c>
      <c r="B1226" s="18">
        <v>640</v>
      </c>
      <c r="C1226" s="907"/>
      <c r="D1226" s="292"/>
    </row>
    <row r="1227" spans="1:4" ht="13.2">
      <c r="A1227" s="17" t="s">
        <v>1532</v>
      </c>
      <c r="B1227" s="18">
        <v>640</v>
      </c>
      <c r="C1227" s="907"/>
      <c r="D1227" s="292"/>
    </row>
    <row r="1228" spans="1:4" ht="13.2">
      <c r="A1228" s="17" t="s">
        <v>1533</v>
      </c>
      <c r="B1228" s="18">
        <v>640</v>
      </c>
      <c r="C1228" s="907"/>
      <c r="D1228" s="292"/>
    </row>
    <row r="1229" spans="1:4" ht="13.2">
      <c r="A1229" s="17" t="s">
        <v>1534</v>
      </c>
      <c r="B1229" s="18">
        <v>640</v>
      </c>
      <c r="C1229" s="907"/>
      <c r="D1229" s="292"/>
    </row>
    <row r="1230" spans="1:4" ht="13.2">
      <c r="A1230" s="17" t="s">
        <v>1434</v>
      </c>
      <c r="B1230" s="18">
        <v>640</v>
      </c>
      <c r="C1230" s="907"/>
      <c r="D1230" s="292"/>
    </row>
    <row r="1231" spans="1:4" ht="13.2">
      <c r="A1231" s="17" t="s">
        <v>1006</v>
      </c>
      <c r="B1231" s="18">
        <v>740</v>
      </c>
      <c r="C1231" s="907"/>
      <c r="D1231" s="291"/>
    </row>
    <row r="1232" spans="1:4" ht="13.2">
      <c r="A1232" s="17" t="s">
        <v>1007</v>
      </c>
      <c r="B1232" s="18">
        <v>740</v>
      </c>
      <c r="C1232" s="907"/>
      <c r="D1232" s="291"/>
    </row>
    <row r="1233" spans="1:4" ht="13.2">
      <c r="A1233" s="17" t="s">
        <v>1008</v>
      </c>
      <c r="B1233" s="18">
        <v>740</v>
      </c>
      <c r="C1233" s="907"/>
      <c r="D1233" s="291"/>
    </row>
    <row r="1234" spans="1:4" ht="13.2">
      <c r="A1234" s="17" t="s">
        <v>1009</v>
      </c>
      <c r="B1234" s="18">
        <v>740</v>
      </c>
      <c r="C1234" s="907"/>
      <c r="D1234" s="291"/>
    </row>
    <row r="1235" spans="1:4" ht="13.2">
      <c r="A1235" s="17" t="s">
        <v>1010</v>
      </c>
      <c r="B1235" s="18">
        <v>740</v>
      </c>
      <c r="C1235" s="907"/>
      <c r="D1235" s="291"/>
    </row>
    <row r="1236" spans="1:4" ht="13.2">
      <c r="A1236" s="17" t="s">
        <v>1011</v>
      </c>
      <c r="B1236" s="18">
        <v>740</v>
      </c>
      <c r="C1236" s="907"/>
      <c r="D1236" s="291"/>
    </row>
    <row r="1237" spans="1:4" ht="13.2">
      <c r="A1237" s="17" t="s">
        <v>1012</v>
      </c>
      <c r="B1237" s="18">
        <v>740</v>
      </c>
      <c r="C1237" s="907"/>
      <c r="D1237" s="291"/>
    </row>
    <row r="1238" spans="1:4" ht="13.2">
      <c r="A1238" s="17" t="s">
        <v>1013</v>
      </c>
      <c r="B1238" s="18">
        <v>740</v>
      </c>
      <c r="C1238" s="907"/>
      <c r="D1238" s="291"/>
    </row>
    <row r="1239" spans="1:4" ht="13.2">
      <c r="A1239" s="17" t="s">
        <v>1014</v>
      </c>
      <c r="B1239" s="18">
        <v>740</v>
      </c>
      <c r="C1239" s="907"/>
      <c r="D1239" s="291"/>
    </row>
    <row r="1240" spans="1:4" ht="13.2">
      <c r="A1240" s="17" t="s">
        <v>1015</v>
      </c>
      <c r="B1240" s="18">
        <v>740</v>
      </c>
      <c r="C1240" s="907"/>
      <c r="D1240" s="291"/>
    </row>
    <row r="1241" spans="1:4" ht="13.2">
      <c r="A1241" s="17" t="s">
        <v>1016</v>
      </c>
      <c r="B1241" s="18">
        <v>740</v>
      </c>
      <c r="C1241" s="907"/>
      <c r="D1241" s="291"/>
    </row>
    <row r="1242" spans="1:4" ht="13.2">
      <c r="A1242" s="17" t="s">
        <v>1017</v>
      </c>
      <c r="B1242" s="18">
        <v>740</v>
      </c>
      <c r="C1242" s="907"/>
      <c r="D1242" s="291"/>
    </row>
    <row r="1243" spans="1:4" ht="13.2">
      <c r="A1243" s="17" t="s">
        <v>1018</v>
      </c>
      <c r="B1243" s="18">
        <v>740</v>
      </c>
      <c r="C1243" s="907"/>
      <c r="D1243" s="291"/>
    </row>
    <row r="1244" spans="1:4" ht="13.2">
      <c r="A1244" s="17" t="s">
        <v>1019</v>
      </c>
      <c r="B1244" s="18">
        <v>740</v>
      </c>
      <c r="C1244" s="907"/>
      <c r="D1244" s="291"/>
    </row>
    <row r="1245" spans="1:4" ht="13.2">
      <c r="A1245" s="17" t="s">
        <v>1020</v>
      </c>
      <c r="B1245" s="18">
        <v>740</v>
      </c>
      <c r="C1245" s="907"/>
      <c r="D1245" s="291"/>
    </row>
    <row r="1246" spans="1:4" ht="13.2">
      <c r="A1246" s="17" t="s">
        <v>1021</v>
      </c>
      <c r="B1246" s="18">
        <v>740</v>
      </c>
      <c r="C1246" s="907"/>
      <c r="D1246" s="291"/>
    </row>
    <row r="1247" spans="1:4" ht="13.2">
      <c r="A1247" s="17" t="s">
        <v>1022</v>
      </c>
      <c r="B1247" s="18">
        <v>850</v>
      </c>
      <c r="C1247" s="907"/>
      <c r="D1247" s="291"/>
    </row>
    <row r="1248" spans="1:4" ht="13.2">
      <c r="A1248" s="17" t="s">
        <v>1023</v>
      </c>
      <c r="B1248" s="18">
        <v>850</v>
      </c>
      <c r="C1248" s="907"/>
      <c r="D1248" s="291"/>
    </row>
    <row r="1249" spans="1:4" ht="13.2">
      <c r="A1249" s="17" t="s">
        <v>1024</v>
      </c>
      <c r="B1249" s="18">
        <v>850</v>
      </c>
      <c r="C1249" s="907"/>
      <c r="D1249" s="291"/>
    </row>
    <row r="1250" spans="1:4" ht="13.2">
      <c r="A1250" s="17" t="s">
        <v>1025</v>
      </c>
      <c r="B1250" s="18">
        <v>850</v>
      </c>
      <c r="C1250" s="907"/>
      <c r="D1250" s="291"/>
    </row>
    <row r="1251" spans="1:4" ht="13.2">
      <c r="A1251" s="17" t="s">
        <v>1026</v>
      </c>
      <c r="B1251" s="18">
        <v>850</v>
      </c>
      <c r="C1251" s="907"/>
      <c r="D1251" s="291"/>
    </row>
    <row r="1252" spans="1:4" ht="13.2">
      <c r="A1252" s="17" t="s">
        <v>1027</v>
      </c>
      <c r="B1252" s="18">
        <v>850</v>
      </c>
      <c r="C1252" s="907"/>
      <c r="D1252" s="291"/>
    </row>
    <row r="1253" spans="1:4" ht="13.2">
      <c r="A1253" s="17" t="s">
        <v>1028</v>
      </c>
      <c r="B1253" s="18">
        <v>850</v>
      </c>
      <c r="C1253" s="907"/>
      <c r="D1253" s="291"/>
    </row>
    <row r="1254" spans="1:4" ht="13.2">
      <c r="A1254" s="17" t="s">
        <v>1029</v>
      </c>
      <c r="B1254" s="18">
        <v>850</v>
      </c>
      <c r="C1254" s="907"/>
      <c r="D1254" s="291"/>
    </row>
    <row r="1255" spans="1:4" ht="13.2">
      <c r="A1255" s="17" t="s">
        <v>1030</v>
      </c>
      <c r="B1255" s="18">
        <v>850</v>
      </c>
      <c r="C1255" s="907"/>
      <c r="D1255" s="291"/>
    </row>
    <row r="1256" spans="1:4" ht="13.2">
      <c r="A1256" s="17" t="s">
        <v>1031</v>
      </c>
      <c r="B1256" s="18">
        <v>850</v>
      </c>
      <c r="C1256" s="907"/>
      <c r="D1256" s="291"/>
    </row>
    <row r="1257" spans="1:4" ht="13.2">
      <c r="A1257" s="17" t="s">
        <v>1032</v>
      </c>
      <c r="B1257" s="18">
        <v>850</v>
      </c>
      <c r="C1257" s="907"/>
      <c r="D1257" s="291"/>
    </row>
    <row r="1258" spans="1:4" ht="13.2">
      <c r="A1258" s="17" t="s">
        <v>1033</v>
      </c>
      <c r="B1258" s="18">
        <v>850</v>
      </c>
      <c r="C1258" s="907"/>
      <c r="D1258" s="291"/>
    </row>
    <row r="1259" spans="1:4" ht="13.2">
      <c r="A1259" s="17" t="s">
        <v>1034</v>
      </c>
      <c r="B1259" s="18">
        <v>850</v>
      </c>
      <c r="C1259" s="907"/>
      <c r="D1259" s="291"/>
    </row>
    <row r="1260" spans="1:4" ht="13.2">
      <c r="A1260" s="17" t="s">
        <v>1035</v>
      </c>
      <c r="B1260" s="18">
        <v>850</v>
      </c>
      <c r="C1260" s="907"/>
      <c r="D1260" s="291"/>
    </row>
    <row r="1261" spans="1:4" ht="13.2">
      <c r="A1261" s="17" t="s">
        <v>1036</v>
      </c>
      <c r="B1261" s="18">
        <v>850</v>
      </c>
      <c r="C1261" s="907"/>
      <c r="D1261" s="291"/>
    </row>
    <row r="1262" spans="1:4" ht="13.2">
      <c r="A1262" s="17" t="s">
        <v>1037</v>
      </c>
      <c r="B1262" s="18">
        <v>850</v>
      </c>
      <c r="C1262" s="907"/>
      <c r="D1262" s="291"/>
    </row>
    <row r="1263" spans="1:4" ht="13.2">
      <c r="A1263" s="17" t="s">
        <v>1565</v>
      </c>
      <c r="B1263" s="18">
        <v>950</v>
      </c>
      <c r="C1263" s="907"/>
      <c r="D1263" s="292"/>
    </row>
    <row r="1264" spans="1:4" ht="13.2">
      <c r="A1264" s="17" t="s">
        <v>1566</v>
      </c>
      <c r="B1264" s="18">
        <v>950</v>
      </c>
      <c r="C1264" s="907"/>
      <c r="D1264" s="292"/>
    </row>
    <row r="1265" spans="1:4" ht="13.2">
      <c r="A1265" s="17" t="s">
        <v>1567</v>
      </c>
      <c r="B1265" s="18">
        <v>950</v>
      </c>
      <c r="C1265" s="907"/>
      <c r="D1265" s="292"/>
    </row>
    <row r="1266" spans="1:4" ht="13.2">
      <c r="A1266" s="17" t="s">
        <v>1568</v>
      </c>
      <c r="B1266" s="18">
        <v>950</v>
      </c>
      <c r="C1266" s="907"/>
      <c r="D1266" s="292"/>
    </row>
    <row r="1267" spans="1:4" ht="13.2">
      <c r="A1267" s="17" t="s">
        <v>1569</v>
      </c>
      <c r="B1267" s="18">
        <v>950</v>
      </c>
      <c r="C1267" s="907"/>
      <c r="D1267" s="292"/>
    </row>
    <row r="1268" spans="1:4" ht="13.2">
      <c r="A1268" s="17" t="s">
        <v>1570</v>
      </c>
      <c r="B1268" s="18">
        <v>950</v>
      </c>
      <c r="C1268" s="907"/>
      <c r="D1268" s="292"/>
    </row>
    <row r="1269" spans="1:4" ht="13.2">
      <c r="A1269" s="17" t="s">
        <v>1571</v>
      </c>
      <c r="B1269" s="18">
        <v>950</v>
      </c>
      <c r="C1269" s="907"/>
      <c r="D1269" s="292"/>
    </row>
    <row r="1270" spans="1:4" ht="13.2">
      <c r="A1270" s="17" t="s">
        <v>1572</v>
      </c>
      <c r="B1270" s="18">
        <v>950</v>
      </c>
      <c r="C1270" s="907"/>
      <c r="D1270" s="292"/>
    </row>
    <row r="1271" spans="1:4" ht="13.2">
      <c r="A1271" s="17" t="s">
        <v>1573</v>
      </c>
      <c r="B1271" s="18">
        <v>950</v>
      </c>
      <c r="C1271" s="907"/>
      <c r="D1271" s="292"/>
    </row>
    <row r="1272" spans="1:4" ht="13.2">
      <c r="A1272" s="17" t="s">
        <v>1574</v>
      </c>
      <c r="B1272" s="18">
        <v>950</v>
      </c>
      <c r="C1272" s="907"/>
      <c r="D1272" s="292"/>
    </row>
    <row r="1273" spans="1:4" ht="13.2">
      <c r="A1273" s="17" t="s">
        <v>1575</v>
      </c>
      <c r="B1273" s="18">
        <v>950</v>
      </c>
      <c r="C1273" s="907"/>
      <c r="D1273" s="292"/>
    </row>
    <row r="1274" spans="1:4" ht="13.2">
      <c r="A1274" s="17" t="s">
        <v>1576</v>
      </c>
      <c r="B1274" s="18">
        <v>950</v>
      </c>
      <c r="C1274" s="907"/>
      <c r="D1274" s="292"/>
    </row>
    <row r="1275" spans="1:4" ht="13.2">
      <c r="A1275" s="17" t="s">
        <v>1577</v>
      </c>
      <c r="B1275" s="18">
        <v>950</v>
      </c>
      <c r="C1275" s="907"/>
      <c r="D1275" s="292"/>
    </row>
    <row r="1276" spans="1:4" ht="13.2">
      <c r="A1276" s="17" t="s">
        <v>1578</v>
      </c>
      <c r="B1276" s="18">
        <v>950</v>
      </c>
      <c r="C1276" s="907"/>
      <c r="D1276" s="292"/>
    </row>
    <row r="1277" spans="1:4" ht="13.2">
      <c r="A1277" s="17" t="s">
        <v>1579</v>
      </c>
      <c r="B1277" s="18">
        <v>950</v>
      </c>
      <c r="C1277" s="907"/>
      <c r="D1277" s="292"/>
    </row>
    <row r="1278" spans="1:4" ht="13.2">
      <c r="A1278" s="17" t="s">
        <v>1435</v>
      </c>
      <c r="B1278" s="18">
        <v>950</v>
      </c>
      <c r="C1278" s="907"/>
      <c r="D1278" s="292"/>
    </row>
    <row r="1279" spans="1:4" ht="13.2">
      <c r="A1279" s="17" t="s">
        <v>1038</v>
      </c>
      <c r="B1279" s="18">
        <v>450</v>
      </c>
      <c r="C1279" s="907"/>
      <c r="D1279" s="291"/>
    </row>
    <row r="1280" spans="1:4" ht="13.2">
      <c r="A1280" s="17" t="s">
        <v>1039</v>
      </c>
      <c r="B1280" s="18">
        <v>450</v>
      </c>
      <c r="C1280" s="907"/>
      <c r="D1280" s="291"/>
    </row>
    <row r="1281" spans="1:4" ht="13.2">
      <c r="A1281" s="17" t="s">
        <v>1040</v>
      </c>
      <c r="B1281" s="18">
        <v>450</v>
      </c>
      <c r="C1281" s="907"/>
      <c r="D1281" s="291"/>
    </row>
    <row r="1282" spans="1:4" ht="13.2">
      <c r="A1282" s="17" t="s">
        <v>1041</v>
      </c>
      <c r="B1282" s="18">
        <v>450</v>
      </c>
      <c r="C1282" s="907"/>
      <c r="D1282" s="291"/>
    </row>
    <row r="1283" spans="1:4" ht="13.2">
      <c r="A1283" s="17" t="s">
        <v>1042</v>
      </c>
      <c r="B1283" s="18">
        <v>450</v>
      </c>
      <c r="C1283" s="907"/>
      <c r="D1283" s="291"/>
    </row>
    <row r="1284" spans="1:4" ht="13.2">
      <c r="A1284" s="17" t="s">
        <v>1043</v>
      </c>
      <c r="B1284" s="18">
        <v>450</v>
      </c>
      <c r="C1284" s="907"/>
      <c r="D1284" s="291"/>
    </row>
    <row r="1285" spans="1:4" ht="13.2">
      <c r="A1285" s="17" t="s">
        <v>1044</v>
      </c>
      <c r="B1285" s="18">
        <v>450</v>
      </c>
      <c r="C1285" s="907"/>
      <c r="D1285" s="291"/>
    </row>
    <row r="1286" spans="1:4" ht="13.2">
      <c r="A1286" s="17" t="s">
        <v>1045</v>
      </c>
      <c r="B1286" s="18">
        <v>450</v>
      </c>
      <c r="C1286" s="907"/>
      <c r="D1286" s="291"/>
    </row>
    <row r="1287" spans="1:4" ht="13.2">
      <c r="A1287" s="17" t="s">
        <v>1046</v>
      </c>
      <c r="B1287" s="18">
        <v>450</v>
      </c>
      <c r="C1287" s="907"/>
      <c r="D1287" s="291"/>
    </row>
    <row r="1288" spans="1:4" ht="13.2">
      <c r="A1288" s="17" t="s">
        <v>1047</v>
      </c>
      <c r="B1288" s="18">
        <v>450</v>
      </c>
      <c r="C1288" s="907"/>
      <c r="D1288" s="291"/>
    </row>
    <row r="1289" spans="1:4" ht="13.2">
      <c r="A1289" s="17" t="s">
        <v>1048</v>
      </c>
      <c r="B1289" s="18">
        <v>450</v>
      </c>
      <c r="C1289" s="907"/>
      <c r="D1289" s="291"/>
    </row>
    <row r="1290" spans="1:4" ht="13.2">
      <c r="A1290" s="17" t="s">
        <v>1049</v>
      </c>
      <c r="B1290" s="18">
        <v>450</v>
      </c>
      <c r="C1290" s="907"/>
      <c r="D1290" s="291"/>
    </row>
    <row r="1291" spans="1:4" ht="13.2">
      <c r="A1291" s="17" t="s">
        <v>1050</v>
      </c>
      <c r="B1291" s="18">
        <v>450</v>
      </c>
      <c r="C1291" s="907"/>
      <c r="D1291" s="291"/>
    </row>
    <row r="1292" spans="1:4" ht="13.2">
      <c r="A1292" s="17" t="s">
        <v>1051</v>
      </c>
      <c r="B1292" s="18">
        <v>450</v>
      </c>
      <c r="C1292" s="907"/>
      <c r="D1292" s="291"/>
    </row>
    <row r="1293" spans="1:4" ht="13.2">
      <c r="A1293" s="17" t="s">
        <v>1052</v>
      </c>
      <c r="B1293" s="18">
        <v>450</v>
      </c>
      <c r="C1293" s="907"/>
      <c r="D1293" s="291"/>
    </row>
    <row r="1294" spans="1:4" ht="13.2">
      <c r="A1294" s="17" t="s">
        <v>1053</v>
      </c>
      <c r="B1294" s="18">
        <v>450</v>
      </c>
      <c r="C1294" s="907"/>
      <c r="D1294" s="291"/>
    </row>
    <row r="1295" spans="1:4" ht="13.2">
      <c r="A1295" s="17" t="s">
        <v>1580</v>
      </c>
      <c r="B1295" s="18">
        <v>430</v>
      </c>
      <c r="C1295" s="907"/>
      <c r="D1295" s="292"/>
    </row>
    <row r="1296" spans="1:4" ht="13.2">
      <c r="A1296" s="17" t="s">
        <v>1581</v>
      </c>
      <c r="B1296" s="18">
        <v>430</v>
      </c>
      <c r="C1296" s="907"/>
      <c r="D1296" s="292"/>
    </row>
    <row r="1297" spans="1:4" ht="13.2">
      <c r="A1297" s="17" t="s">
        <v>1582</v>
      </c>
      <c r="B1297" s="18">
        <v>430</v>
      </c>
      <c r="C1297" s="907"/>
      <c r="D1297" s="292"/>
    </row>
    <row r="1298" spans="1:4" ht="13.2">
      <c r="A1298" s="17" t="s">
        <v>1583</v>
      </c>
      <c r="B1298" s="18">
        <v>430</v>
      </c>
      <c r="C1298" s="907"/>
      <c r="D1298" s="292"/>
    </row>
    <row r="1299" spans="1:4" ht="13.2">
      <c r="A1299" s="17" t="s">
        <v>1584</v>
      </c>
      <c r="B1299" s="18">
        <v>430</v>
      </c>
      <c r="C1299" s="907"/>
      <c r="D1299" s="292"/>
    </row>
    <row r="1300" spans="1:4" ht="13.2">
      <c r="A1300" s="17" t="s">
        <v>1585</v>
      </c>
      <c r="B1300" s="18">
        <v>430</v>
      </c>
      <c r="C1300" s="907"/>
      <c r="D1300" s="292"/>
    </row>
    <row r="1301" spans="1:4" ht="13.2">
      <c r="A1301" s="17" t="s">
        <v>1586</v>
      </c>
      <c r="B1301" s="18">
        <v>430</v>
      </c>
      <c r="C1301" s="907"/>
      <c r="D1301" s="292"/>
    </row>
    <row r="1302" spans="1:4" ht="13.2">
      <c r="A1302" s="17" t="s">
        <v>1587</v>
      </c>
      <c r="B1302" s="18">
        <v>430</v>
      </c>
      <c r="C1302" s="907"/>
      <c r="D1302" s="292"/>
    </row>
    <row r="1303" spans="1:4" ht="13.2">
      <c r="A1303" s="17" t="s">
        <v>1588</v>
      </c>
      <c r="B1303" s="18">
        <v>430</v>
      </c>
      <c r="C1303" s="907"/>
      <c r="D1303" s="292"/>
    </row>
    <row r="1304" spans="1:4" ht="13.2">
      <c r="A1304" s="17" t="s">
        <v>1589</v>
      </c>
      <c r="B1304" s="18">
        <v>430</v>
      </c>
      <c r="C1304" s="907"/>
      <c r="D1304" s="292"/>
    </row>
    <row r="1305" spans="1:4" ht="13.2">
      <c r="A1305" s="17" t="s">
        <v>1590</v>
      </c>
      <c r="B1305" s="18">
        <v>430</v>
      </c>
      <c r="C1305" s="907"/>
      <c r="D1305" s="292"/>
    </row>
    <row r="1306" spans="1:4" ht="13.2">
      <c r="A1306" s="17" t="s">
        <v>1591</v>
      </c>
      <c r="B1306" s="18">
        <v>430</v>
      </c>
      <c r="C1306" s="907"/>
      <c r="D1306" s="292"/>
    </row>
    <row r="1307" spans="1:4" ht="13.2">
      <c r="A1307" s="17" t="s">
        <v>1592</v>
      </c>
      <c r="B1307" s="18">
        <v>430</v>
      </c>
      <c r="C1307" s="907"/>
      <c r="D1307" s="292"/>
    </row>
    <row r="1308" spans="1:4" ht="13.2">
      <c r="A1308" s="17" t="s">
        <v>1593</v>
      </c>
      <c r="B1308" s="18">
        <v>430</v>
      </c>
      <c r="C1308" s="907"/>
      <c r="D1308" s="292"/>
    </row>
    <row r="1309" spans="1:4" ht="13.2">
      <c r="A1309" s="17" t="s">
        <v>1594</v>
      </c>
      <c r="B1309" s="18">
        <v>430</v>
      </c>
      <c r="C1309" s="907"/>
      <c r="D1309" s="292"/>
    </row>
    <row r="1310" spans="1:4" ht="13.2">
      <c r="A1310" s="17" t="s">
        <v>1436</v>
      </c>
      <c r="B1310" s="18">
        <v>430</v>
      </c>
      <c r="C1310" s="907"/>
      <c r="D1310" s="292"/>
    </row>
    <row r="1311" spans="1:4" ht="13.2">
      <c r="A1311" s="17" t="s">
        <v>1595</v>
      </c>
      <c r="B1311" s="18">
        <v>550</v>
      </c>
      <c r="C1311" s="907"/>
      <c r="D1311" s="292"/>
    </row>
    <row r="1312" spans="1:4" ht="13.2">
      <c r="A1312" s="17" t="s">
        <v>1596</v>
      </c>
      <c r="B1312" s="18">
        <v>550</v>
      </c>
      <c r="C1312" s="907"/>
      <c r="D1312" s="292"/>
    </row>
    <row r="1313" spans="1:4" ht="13.2">
      <c r="A1313" s="17" t="s">
        <v>1597</v>
      </c>
      <c r="B1313" s="18">
        <v>550</v>
      </c>
      <c r="C1313" s="907"/>
      <c r="D1313" s="292"/>
    </row>
    <row r="1314" spans="1:4" ht="13.2">
      <c r="A1314" s="17" t="s">
        <v>1598</v>
      </c>
      <c r="B1314" s="18">
        <v>550</v>
      </c>
      <c r="C1314" s="907"/>
      <c r="D1314" s="292"/>
    </row>
    <row r="1315" spans="1:4" ht="13.2">
      <c r="A1315" s="17" t="s">
        <v>1599</v>
      </c>
      <c r="B1315" s="18">
        <v>550</v>
      </c>
      <c r="C1315" s="907"/>
      <c r="D1315" s="292"/>
    </row>
    <row r="1316" spans="1:4" ht="13.2">
      <c r="A1316" s="17" t="s">
        <v>1600</v>
      </c>
      <c r="B1316" s="18">
        <v>550</v>
      </c>
      <c r="C1316" s="907"/>
      <c r="D1316" s="292"/>
    </row>
    <row r="1317" spans="1:4" ht="13.2">
      <c r="A1317" s="17" t="s">
        <v>1601</v>
      </c>
      <c r="B1317" s="18">
        <v>550</v>
      </c>
      <c r="C1317" s="907"/>
      <c r="D1317" s="292"/>
    </row>
    <row r="1318" spans="1:4" ht="13.2">
      <c r="A1318" s="17" t="s">
        <v>1602</v>
      </c>
      <c r="B1318" s="18">
        <v>550</v>
      </c>
      <c r="C1318" s="907"/>
      <c r="D1318" s="292"/>
    </row>
    <row r="1319" spans="1:4" ht="13.2">
      <c r="A1319" s="17" t="s">
        <v>1603</v>
      </c>
      <c r="B1319" s="18">
        <v>550</v>
      </c>
      <c r="C1319" s="907"/>
      <c r="D1319" s="292"/>
    </row>
    <row r="1320" spans="1:4" ht="13.2">
      <c r="A1320" s="17" t="s">
        <v>1604</v>
      </c>
      <c r="B1320" s="18">
        <v>550</v>
      </c>
      <c r="C1320" s="907"/>
      <c r="D1320" s="292"/>
    </row>
    <row r="1321" spans="1:4" ht="13.2">
      <c r="A1321" s="17" t="s">
        <v>1605</v>
      </c>
      <c r="B1321" s="18">
        <v>550</v>
      </c>
      <c r="C1321" s="907"/>
      <c r="D1321" s="292"/>
    </row>
    <row r="1322" spans="1:4" ht="13.2">
      <c r="A1322" s="17" t="s">
        <v>1606</v>
      </c>
      <c r="B1322" s="18">
        <v>550</v>
      </c>
      <c r="C1322" s="907"/>
      <c r="D1322" s="292"/>
    </row>
    <row r="1323" spans="1:4" ht="13.2">
      <c r="A1323" s="17" t="s">
        <v>1607</v>
      </c>
      <c r="B1323" s="18">
        <v>550</v>
      </c>
      <c r="C1323" s="907"/>
      <c r="D1323" s="292"/>
    </row>
    <row r="1324" spans="1:4" ht="13.2">
      <c r="A1324" s="17" t="s">
        <v>1608</v>
      </c>
      <c r="B1324" s="18">
        <v>550</v>
      </c>
      <c r="C1324" s="907"/>
      <c r="D1324" s="292"/>
    </row>
    <row r="1325" spans="1:4" ht="13.2">
      <c r="A1325" s="17" t="s">
        <v>1609</v>
      </c>
      <c r="B1325" s="18">
        <v>550</v>
      </c>
      <c r="C1325" s="907"/>
      <c r="D1325" s="292"/>
    </row>
    <row r="1326" spans="1:4" ht="13.2">
      <c r="A1326" s="17" t="s">
        <v>1437</v>
      </c>
      <c r="B1326" s="18">
        <v>550</v>
      </c>
      <c r="C1326" s="907"/>
      <c r="D1326" s="292"/>
    </row>
    <row r="1327" spans="1:4" ht="13.2">
      <c r="A1327" s="17" t="s">
        <v>1610</v>
      </c>
      <c r="B1327" s="18">
        <v>850</v>
      </c>
      <c r="C1327" s="907"/>
      <c r="D1327" s="292"/>
    </row>
    <row r="1328" spans="1:4" ht="13.2">
      <c r="A1328" s="17" t="s">
        <v>1611</v>
      </c>
      <c r="B1328" s="18">
        <v>850</v>
      </c>
      <c r="C1328" s="907"/>
      <c r="D1328" s="292"/>
    </row>
    <row r="1329" spans="1:4" ht="13.2">
      <c r="A1329" s="17" t="s">
        <v>1612</v>
      </c>
      <c r="B1329" s="18">
        <v>850</v>
      </c>
      <c r="C1329" s="907"/>
      <c r="D1329" s="292"/>
    </row>
    <row r="1330" spans="1:4" ht="13.2">
      <c r="A1330" s="17" t="s">
        <v>1613</v>
      </c>
      <c r="B1330" s="18">
        <v>850</v>
      </c>
      <c r="C1330" s="907"/>
      <c r="D1330" s="292"/>
    </row>
    <row r="1331" spans="1:4" ht="13.2">
      <c r="A1331" s="17" t="s">
        <v>1614</v>
      </c>
      <c r="B1331" s="18">
        <v>850</v>
      </c>
      <c r="C1331" s="907"/>
      <c r="D1331" s="292"/>
    </row>
    <row r="1332" spans="1:4" ht="13.2">
      <c r="A1332" s="17" t="s">
        <v>1615</v>
      </c>
      <c r="B1332" s="18">
        <v>850</v>
      </c>
      <c r="C1332" s="907"/>
      <c r="D1332" s="292"/>
    </row>
    <row r="1333" spans="1:4" ht="13.2">
      <c r="A1333" s="17" t="s">
        <v>1616</v>
      </c>
      <c r="B1333" s="18">
        <v>850</v>
      </c>
      <c r="C1333" s="907"/>
      <c r="D1333" s="292"/>
    </row>
    <row r="1334" spans="1:4" ht="13.2">
      <c r="A1334" s="17" t="s">
        <v>1617</v>
      </c>
      <c r="B1334" s="18">
        <v>850</v>
      </c>
      <c r="C1334" s="907"/>
      <c r="D1334" s="292"/>
    </row>
    <row r="1335" spans="1:4" ht="13.2">
      <c r="A1335" s="17" t="s">
        <v>1618</v>
      </c>
      <c r="B1335" s="18">
        <v>850</v>
      </c>
      <c r="C1335" s="907"/>
      <c r="D1335" s="292"/>
    </row>
    <row r="1336" spans="1:4" ht="13.2">
      <c r="A1336" s="17" t="s">
        <v>1619</v>
      </c>
      <c r="B1336" s="18">
        <v>850</v>
      </c>
      <c r="C1336" s="907"/>
      <c r="D1336" s="292"/>
    </row>
    <row r="1337" spans="1:4" ht="13.2">
      <c r="A1337" s="17" t="s">
        <v>1620</v>
      </c>
      <c r="B1337" s="18">
        <v>850</v>
      </c>
      <c r="C1337" s="907"/>
      <c r="D1337" s="292"/>
    </row>
    <row r="1338" spans="1:4" ht="13.2">
      <c r="A1338" s="17" t="s">
        <v>1621</v>
      </c>
      <c r="B1338" s="18">
        <v>850</v>
      </c>
      <c r="C1338" s="907"/>
      <c r="D1338" s="292"/>
    </row>
    <row r="1339" spans="1:4" ht="13.2">
      <c r="A1339" s="17" t="s">
        <v>1622</v>
      </c>
      <c r="B1339" s="18">
        <v>850</v>
      </c>
      <c r="C1339" s="907"/>
      <c r="D1339" s="292"/>
    </row>
    <row r="1340" spans="1:4" ht="13.2">
      <c r="A1340" s="17" t="s">
        <v>1623</v>
      </c>
      <c r="B1340" s="18">
        <v>850</v>
      </c>
      <c r="C1340" s="907"/>
      <c r="D1340" s="292"/>
    </row>
    <row r="1341" spans="1:4" ht="13.2">
      <c r="A1341" s="17" t="s">
        <v>1624</v>
      </c>
      <c r="B1341" s="18">
        <v>850</v>
      </c>
      <c r="C1341" s="907"/>
      <c r="D1341" s="292"/>
    </row>
    <row r="1342" spans="1:4" ht="13.2">
      <c r="A1342" s="17" t="s">
        <v>1438</v>
      </c>
      <c r="B1342" s="18">
        <v>850</v>
      </c>
      <c r="C1342" s="907"/>
      <c r="D1342" s="292"/>
    </row>
    <row r="1343" spans="1:4" ht="13.2">
      <c r="A1343" s="17" t="s">
        <v>1445</v>
      </c>
      <c r="B1343" s="18">
        <v>1120</v>
      </c>
      <c r="C1343" s="907"/>
      <c r="D1343" s="292"/>
    </row>
    <row r="1344" spans="1:4" ht="13.2">
      <c r="A1344" s="17" t="s">
        <v>1446</v>
      </c>
      <c r="B1344" s="18">
        <v>1120</v>
      </c>
      <c r="C1344" s="907"/>
      <c r="D1344" s="292"/>
    </row>
    <row r="1345" spans="1:4" ht="13.2">
      <c r="A1345" s="17" t="s">
        <v>1447</v>
      </c>
      <c r="B1345" s="18">
        <v>1120</v>
      </c>
      <c r="C1345" s="907"/>
      <c r="D1345" s="292"/>
    </row>
    <row r="1346" spans="1:4" ht="13.2">
      <c r="A1346" s="17" t="s">
        <v>1448</v>
      </c>
      <c r="B1346" s="18">
        <v>1120</v>
      </c>
      <c r="C1346" s="907"/>
      <c r="D1346" s="292"/>
    </row>
    <row r="1347" spans="1:4" ht="13.2">
      <c r="A1347" s="17" t="s">
        <v>1449</v>
      </c>
      <c r="B1347" s="18">
        <v>1120</v>
      </c>
      <c r="C1347" s="907"/>
      <c r="D1347" s="292"/>
    </row>
    <row r="1348" spans="1:4" ht="13.2">
      <c r="A1348" s="17" t="s">
        <v>1450</v>
      </c>
      <c r="B1348" s="18">
        <v>1120</v>
      </c>
      <c r="C1348" s="907"/>
      <c r="D1348" s="292"/>
    </row>
    <row r="1349" spans="1:4" ht="13.2">
      <c r="A1349" s="17" t="s">
        <v>1451</v>
      </c>
      <c r="B1349" s="18">
        <v>1120</v>
      </c>
      <c r="C1349" s="907"/>
      <c r="D1349" s="292"/>
    </row>
    <row r="1350" spans="1:4" ht="13.2">
      <c r="A1350" s="17" t="s">
        <v>1452</v>
      </c>
      <c r="B1350" s="18">
        <v>1120</v>
      </c>
      <c r="C1350" s="907"/>
      <c r="D1350" s="292"/>
    </row>
    <row r="1351" spans="1:4" ht="13.2">
      <c r="A1351" s="17" t="s">
        <v>1453</v>
      </c>
      <c r="B1351" s="18">
        <v>1120</v>
      </c>
      <c r="C1351" s="907"/>
      <c r="D1351" s="292"/>
    </row>
    <row r="1352" spans="1:4" ht="13.2">
      <c r="A1352" s="17" t="s">
        <v>1454</v>
      </c>
      <c r="B1352" s="18">
        <v>1120</v>
      </c>
      <c r="C1352" s="907"/>
      <c r="D1352" s="292"/>
    </row>
    <row r="1353" spans="1:4" ht="13.2">
      <c r="A1353" s="17" t="s">
        <v>1455</v>
      </c>
      <c r="B1353" s="18">
        <v>1120</v>
      </c>
      <c r="C1353" s="907"/>
      <c r="D1353" s="292"/>
    </row>
    <row r="1354" spans="1:4" ht="13.2">
      <c r="A1354" s="17" t="s">
        <v>1456</v>
      </c>
      <c r="B1354" s="18">
        <v>1120</v>
      </c>
      <c r="C1354" s="907"/>
      <c r="D1354" s="292"/>
    </row>
    <row r="1355" spans="1:4" ht="13.2">
      <c r="A1355" s="17" t="s">
        <v>1457</v>
      </c>
      <c r="B1355" s="18">
        <v>1120</v>
      </c>
      <c r="C1355" s="907"/>
      <c r="D1355" s="292"/>
    </row>
    <row r="1356" spans="1:4" ht="13.2">
      <c r="A1356" s="17" t="s">
        <v>1458</v>
      </c>
      <c r="B1356" s="18">
        <v>1120</v>
      </c>
      <c r="C1356" s="907"/>
      <c r="D1356" s="292"/>
    </row>
    <row r="1357" spans="1:4" ht="13.2">
      <c r="A1357" s="17" t="s">
        <v>1459</v>
      </c>
      <c r="B1357" s="18">
        <v>1120</v>
      </c>
      <c r="C1357" s="907"/>
      <c r="D1357" s="292"/>
    </row>
    <row r="1358" spans="1:4" ht="13.2">
      <c r="A1358" s="17" t="s">
        <v>1441</v>
      </c>
      <c r="B1358" s="18">
        <v>1120</v>
      </c>
      <c r="C1358" s="907"/>
      <c r="D1358" s="292"/>
    </row>
    <row r="1359" spans="1:4" ht="13.2">
      <c r="A1359" s="17" t="s">
        <v>1460</v>
      </c>
      <c r="B1359" s="18">
        <v>1330</v>
      </c>
      <c r="C1359" s="907"/>
      <c r="D1359" s="292"/>
    </row>
    <row r="1360" spans="1:4" ht="13.2">
      <c r="A1360" s="17" t="s">
        <v>1461</v>
      </c>
      <c r="B1360" s="18">
        <v>1330</v>
      </c>
      <c r="C1360" s="907"/>
      <c r="D1360" s="292"/>
    </row>
    <row r="1361" spans="1:4" ht="13.2">
      <c r="A1361" s="17" t="s">
        <v>1462</v>
      </c>
      <c r="B1361" s="18">
        <v>1330</v>
      </c>
      <c r="C1361" s="907"/>
      <c r="D1361" s="292"/>
    </row>
    <row r="1362" spans="1:4" ht="13.2">
      <c r="A1362" s="17" t="s">
        <v>1463</v>
      </c>
      <c r="B1362" s="18">
        <v>1330</v>
      </c>
      <c r="C1362" s="907"/>
      <c r="D1362" s="292"/>
    </row>
    <row r="1363" spans="1:4" ht="13.2">
      <c r="A1363" s="17" t="s">
        <v>1464</v>
      </c>
      <c r="B1363" s="18">
        <v>1330</v>
      </c>
      <c r="C1363" s="907"/>
      <c r="D1363" s="292"/>
    </row>
    <row r="1364" spans="1:4" ht="13.2">
      <c r="A1364" s="17" t="s">
        <v>1465</v>
      </c>
      <c r="B1364" s="18">
        <v>1330</v>
      </c>
      <c r="C1364" s="907"/>
      <c r="D1364" s="292"/>
    </row>
    <row r="1365" spans="1:4" ht="13.2">
      <c r="A1365" s="17" t="s">
        <v>1466</v>
      </c>
      <c r="B1365" s="18">
        <v>1330</v>
      </c>
      <c r="C1365" s="907"/>
      <c r="D1365" s="292"/>
    </row>
    <row r="1366" spans="1:4" ht="13.2">
      <c r="A1366" s="17" t="s">
        <v>1467</v>
      </c>
      <c r="B1366" s="18">
        <v>1330</v>
      </c>
      <c r="C1366" s="907"/>
      <c r="D1366" s="292"/>
    </row>
    <row r="1367" spans="1:4" ht="13.2">
      <c r="A1367" s="17" t="s">
        <v>1468</v>
      </c>
      <c r="B1367" s="18">
        <v>1330</v>
      </c>
      <c r="C1367" s="907"/>
      <c r="D1367" s="292"/>
    </row>
    <row r="1368" spans="1:4" ht="13.2">
      <c r="A1368" s="17" t="s">
        <v>1469</v>
      </c>
      <c r="B1368" s="18">
        <v>1330</v>
      </c>
      <c r="C1368" s="907"/>
      <c r="D1368" s="292"/>
    </row>
    <row r="1369" spans="1:4" ht="13.2">
      <c r="A1369" s="17" t="s">
        <v>1470</v>
      </c>
      <c r="B1369" s="18">
        <v>1330</v>
      </c>
      <c r="C1369" s="907"/>
      <c r="D1369" s="292"/>
    </row>
    <row r="1370" spans="1:4" ht="13.2">
      <c r="A1370" s="17" t="s">
        <v>1471</v>
      </c>
      <c r="B1370" s="18">
        <v>1330</v>
      </c>
      <c r="C1370" s="907"/>
      <c r="D1370" s="292"/>
    </row>
    <row r="1371" spans="1:4" ht="13.2">
      <c r="A1371" s="17" t="s">
        <v>1472</v>
      </c>
      <c r="B1371" s="18">
        <v>1330</v>
      </c>
      <c r="C1371" s="907"/>
      <c r="D1371" s="292"/>
    </row>
    <row r="1372" spans="1:4" ht="13.2">
      <c r="A1372" s="17" t="s">
        <v>1473</v>
      </c>
      <c r="B1372" s="18">
        <v>1330</v>
      </c>
      <c r="C1372" s="907"/>
      <c r="D1372" s="292"/>
    </row>
    <row r="1373" spans="1:4" ht="13.2">
      <c r="A1373" s="17" t="s">
        <v>1474</v>
      </c>
      <c r="B1373" s="18">
        <v>1330</v>
      </c>
      <c r="C1373" s="907"/>
      <c r="D1373" s="292"/>
    </row>
    <row r="1374" spans="1:4" ht="13.2">
      <c r="A1374" s="17" t="s">
        <v>1442</v>
      </c>
      <c r="B1374" s="18">
        <v>1330</v>
      </c>
      <c r="C1374" s="907"/>
      <c r="D1374" s="292"/>
    </row>
    <row r="1375" spans="1:4" ht="13.2">
      <c r="A1375" s="17" t="s">
        <v>1475</v>
      </c>
      <c r="B1375" s="18">
        <v>1520</v>
      </c>
      <c r="C1375" s="907"/>
      <c r="D1375" s="292"/>
    </row>
    <row r="1376" spans="1:4" ht="13.2">
      <c r="A1376" s="17" t="s">
        <v>1476</v>
      </c>
      <c r="B1376" s="18">
        <v>1520</v>
      </c>
      <c r="C1376" s="907"/>
      <c r="D1376" s="292"/>
    </row>
    <row r="1377" spans="1:4" ht="13.2">
      <c r="A1377" s="17" t="s">
        <v>1477</v>
      </c>
      <c r="B1377" s="18">
        <v>1520</v>
      </c>
      <c r="C1377" s="907"/>
      <c r="D1377" s="292"/>
    </row>
    <row r="1378" spans="1:4" ht="13.2">
      <c r="A1378" s="17" t="s">
        <v>1478</v>
      </c>
      <c r="B1378" s="18">
        <v>1520</v>
      </c>
      <c r="C1378" s="907"/>
      <c r="D1378" s="292"/>
    </row>
    <row r="1379" spans="1:4" ht="13.2">
      <c r="A1379" s="17" t="s">
        <v>1479</v>
      </c>
      <c r="B1379" s="18">
        <v>1520</v>
      </c>
      <c r="C1379" s="907"/>
      <c r="D1379" s="292"/>
    </row>
    <row r="1380" spans="1:4" ht="13.2">
      <c r="A1380" s="17" t="s">
        <v>1480</v>
      </c>
      <c r="B1380" s="18">
        <v>1520</v>
      </c>
      <c r="C1380" s="907"/>
      <c r="D1380" s="292"/>
    </row>
    <row r="1381" spans="1:4" ht="13.2">
      <c r="A1381" s="17" t="s">
        <v>1481</v>
      </c>
      <c r="B1381" s="18">
        <v>1520</v>
      </c>
      <c r="C1381" s="907"/>
      <c r="D1381" s="292"/>
    </row>
    <row r="1382" spans="1:4" ht="13.2">
      <c r="A1382" s="17" t="s">
        <v>1482</v>
      </c>
      <c r="B1382" s="18">
        <v>1520</v>
      </c>
      <c r="C1382" s="907"/>
      <c r="D1382" s="292"/>
    </row>
    <row r="1383" spans="1:4" ht="13.2">
      <c r="A1383" s="17" t="s">
        <v>1483</v>
      </c>
      <c r="B1383" s="18">
        <v>1520</v>
      </c>
      <c r="C1383" s="907"/>
      <c r="D1383" s="292"/>
    </row>
    <row r="1384" spans="1:4" ht="13.2">
      <c r="A1384" s="17" t="s">
        <v>1484</v>
      </c>
      <c r="B1384" s="18">
        <v>1520</v>
      </c>
      <c r="C1384" s="907"/>
      <c r="D1384" s="292"/>
    </row>
    <row r="1385" spans="1:4" ht="13.2">
      <c r="A1385" s="17" t="s">
        <v>1485</v>
      </c>
      <c r="B1385" s="18">
        <v>1520</v>
      </c>
      <c r="C1385" s="907"/>
      <c r="D1385" s="292"/>
    </row>
    <row r="1386" spans="1:4" ht="13.2">
      <c r="A1386" s="17" t="s">
        <v>1486</v>
      </c>
      <c r="B1386" s="18">
        <v>1520</v>
      </c>
      <c r="C1386" s="907"/>
      <c r="D1386" s="292"/>
    </row>
    <row r="1387" spans="1:4" ht="13.2">
      <c r="A1387" s="17" t="s">
        <v>1487</v>
      </c>
      <c r="B1387" s="18">
        <v>1520</v>
      </c>
      <c r="C1387" s="907"/>
      <c r="D1387" s="292"/>
    </row>
    <row r="1388" spans="1:4" ht="13.2">
      <c r="A1388" s="17" t="s">
        <v>1488</v>
      </c>
      <c r="B1388" s="18">
        <v>1520</v>
      </c>
      <c r="C1388" s="907"/>
      <c r="D1388" s="292"/>
    </row>
    <row r="1389" spans="1:4" ht="13.2">
      <c r="A1389" s="17" t="s">
        <v>1489</v>
      </c>
      <c r="B1389" s="18">
        <v>1520</v>
      </c>
      <c r="C1389" s="907"/>
      <c r="D1389" s="292"/>
    </row>
    <row r="1390" spans="1:4" ht="13.2">
      <c r="A1390" s="17" t="s">
        <v>1443</v>
      </c>
      <c r="B1390" s="18">
        <v>1520</v>
      </c>
      <c r="C1390" s="907"/>
      <c r="D1390" s="292"/>
    </row>
    <row r="1391" spans="1:4" ht="13.2">
      <c r="A1391" s="17" t="s">
        <v>1490</v>
      </c>
      <c r="B1391" s="18">
        <v>1700</v>
      </c>
      <c r="C1391" s="907"/>
      <c r="D1391" s="292"/>
    </row>
    <row r="1392" spans="1:4" ht="13.2">
      <c r="A1392" s="17" t="s">
        <v>1491</v>
      </c>
      <c r="B1392" s="18">
        <v>1700</v>
      </c>
      <c r="C1392" s="907"/>
      <c r="D1392" s="292"/>
    </row>
    <row r="1393" spans="1:4" ht="13.2">
      <c r="A1393" s="17" t="s">
        <v>1492</v>
      </c>
      <c r="B1393" s="18">
        <v>1700</v>
      </c>
      <c r="C1393" s="907"/>
      <c r="D1393" s="292"/>
    </row>
    <row r="1394" spans="1:4" ht="13.2">
      <c r="A1394" s="17" t="s">
        <v>1493</v>
      </c>
      <c r="B1394" s="18">
        <v>1700</v>
      </c>
      <c r="C1394" s="907"/>
      <c r="D1394" s="292"/>
    </row>
    <row r="1395" spans="1:4" ht="13.2">
      <c r="A1395" s="17" t="s">
        <v>1494</v>
      </c>
      <c r="B1395" s="18">
        <v>1700</v>
      </c>
      <c r="C1395" s="907"/>
      <c r="D1395" s="292"/>
    </row>
    <row r="1396" spans="1:4" ht="13.2">
      <c r="A1396" s="17" t="s">
        <v>1495</v>
      </c>
      <c r="B1396" s="18">
        <v>1700</v>
      </c>
      <c r="C1396" s="907"/>
      <c r="D1396" s="292"/>
    </row>
    <row r="1397" spans="1:4" ht="13.2">
      <c r="A1397" s="17" t="s">
        <v>1496</v>
      </c>
      <c r="B1397" s="18">
        <v>1700</v>
      </c>
      <c r="C1397" s="907"/>
      <c r="D1397" s="292"/>
    </row>
    <row r="1398" spans="1:4" ht="13.2">
      <c r="A1398" s="17" t="s">
        <v>1497</v>
      </c>
      <c r="B1398" s="18">
        <v>1700</v>
      </c>
      <c r="C1398" s="907"/>
      <c r="D1398" s="292"/>
    </row>
    <row r="1399" spans="1:4" ht="13.2">
      <c r="A1399" s="17" t="s">
        <v>1498</v>
      </c>
      <c r="B1399" s="18">
        <v>1700</v>
      </c>
      <c r="C1399" s="907"/>
      <c r="D1399" s="292"/>
    </row>
    <row r="1400" spans="1:4" ht="13.2">
      <c r="A1400" s="17" t="s">
        <v>1499</v>
      </c>
      <c r="B1400" s="18">
        <v>1700</v>
      </c>
      <c r="C1400" s="907"/>
      <c r="D1400" s="292"/>
    </row>
    <row r="1401" spans="1:4" ht="13.2">
      <c r="A1401" s="17" t="s">
        <v>1500</v>
      </c>
      <c r="B1401" s="18">
        <v>1700</v>
      </c>
      <c r="C1401" s="907"/>
      <c r="D1401" s="292"/>
    </row>
    <row r="1402" spans="1:4" ht="13.2">
      <c r="A1402" s="17" t="s">
        <v>1501</v>
      </c>
      <c r="B1402" s="18">
        <v>1700</v>
      </c>
      <c r="C1402" s="907"/>
      <c r="D1402" s="292"/>
    </row>
    <row r="1403" spans="1:4" ht="13.2">
      <c r="A1403" s="17" t="s">
        <v>1502</v>
      </c>
      <c r="B1403" s="18">
        <v>1700</v>
      </c>
      <c r="C1403" s="907"/>
      <c r="D1403" s="292"/>
    </row>
    <row r="1404" spans="1:4" ht="13.2">
      <c r="A1404" s="17" t="s">
        <v>1503</v>
      </c>
      <c r="B1404" s="18">
        <v>1700</v>
      </c>
      <c r="C1404" s="907"/>
      <c r="D1404" s="292"/>
    </row>
    <row r="1405" spans="1:4" ht="13.2">
      <c r="A1405" s="17" t="s">
        <v>1504</v>
      </c>
      <c r="B1405" s="18">
        <v>1700</v>
      </c>
      <c r="C1405" s="907"/>
      <c r="D1405" s="292"/>
    </row>
    <row r="1406" spans="1:4" ht="13.2">
      <c r="A1406" s="17" t="s">
        <v>1444</v>
      </c>
      <c r="B1406" s="18">
        <v>1700</v>
      </c>
      <c r="C1406" s="907"/>
      <c r="D1406" s="292"/>
    </row>
    <row r="1407" spans="1:4" ht="13.2">
      <c r="A1407" s="17" t="s">
        <v>1054</v>
      </c>
      <c r="B1407" s="18">
        <v>1150</v>
      </c>
      <c r="C1407" s="907"/>
      <c r="D1407" s="291"/>
    </row>
    <row r="1408" spans="1:4" ht="13.2">
      <c r="A1408" s="17" t="s">
        <v>1055</v>
      </c>
      <c r="B1408" s="18">
        <v>1150</v>
      </c>
      <c r="C1408" s="907"/>
      <c r="D1408" s="291"/>
    </row>
    <row r="1409" spans="1:4" ht="13.2">
      <c r="A1409" s="17" t="s">
        <v>1056</v>
      </c>
      <c r="B1409" s="18">
        <v>1150</v>
      </c>
      <c r="C1409" s="907"/>
      <c r="D1409" s="291"/>
    </row>
    <row r="1410" spans="1:4" ht="13.2">
      <c r="A1410" s="17" t="s">
        <v>1057</v>
      </c>
      <c r="B1410" s="18">
        <v>1150</v>
      </c>
      <c r="C1410" s="907"/>
      <c r="D1410" s="291"/>
    </row>
    <row r="1411" spans="1:4" ht="13.2">
      <c r="A1411" s="17" t="s">
        <v>1058</v>
      </c>
      <c r="B1411" s="18">
        <v>1150</v>
      </c>
      <c r="C1411" s="907"/>
      <c r="D1411" s="291"/>
    </row>
    <row r="1412" spans="1:4" ht="13.2">
      <c r="A1412" s="17" t="s">
        <v>1059</v>
      </c>
      <c r="B1412" s="18">
        <v>1150</v>
      </c>
      <c r="C1412" s="907"/>
      <c r="D1412" s="291"/>
    </row>
    <row r="1413" spans="1:4" ht="13.2">
      <c r="A1413" s="17" t="s">
        <v>1060</v>
      </c>
      <c r="B1413" s="18">
        <v>1150</v>
      </c>
      <c r="C1413" s="907"/>
      <c r="D1413" s="291"/>
    </row>
    <row r="1414" spans="1:4" ht="13.2">
      <c r="A1414" s="17" t="s">
        <v>1061</v>
      </c>
      <c r="B1414" s="18">
        <v>1150</v>
      </c>
      <c r="C1414" s="907"/>
      <c r="D1414" s="291"/>
    </row>
    <row r="1415" spans="1:4" ht="13.2">
      <c r="A1415" s="17" t="s">
        <v>1062</v>
      </c>
      <c r="B1415" s="18">
        <v>1150</v>
      </c>
      <c r="C1415" s="907"/>
      <c r="D1415" s="291"/>
    </row>
    <row r="1416" spans="1:4" ht="13.2">
      <c r="A1416" s="17" t="s">
        <v>1063</v>
      </c>
      <c r="B1416" s="18">
        <v>1150</v>
      </c>
      <c r="C1416" s="907"/>
      <c r="D1416" s="291"/>
    </row>
    <row r="1417" spans="1:4" ht="13.2">
      <c r="A1417" s="17" t="s">
        <v>1064</v>
      </c>
      <c r="B1417" s="18">
        <v>1150</v>
      </c>
      <c r="C1417" s="907"/>
      <c r="D1417" s="291"/>
    </row>
    <row r="1418" spans="1:4" ht="13.2">
      <c r="A1418" s="17" t="s">
        <v>1065</v>
      </c>
      <c r="B1418" s="18">
        <v>1150</v>
      </c>
      <c r="C1418" s="907"/>
      <c r="D1418" s="291"/>
    </row>
    <row r="1419" spans="1:4" ht="13.2">
      <c r="A1419" s="17" t="s">
        <v>1066</v>
      </c>
      <c r="B1419" s="18">
        <v>1150</v>
      </c>
      <c r="C1419" s="907"/>
      <c r="D1419" s="291"/>
    </row>
    <row r="1420" spans="1:4" ht="13.2">
      <c r="A1420" s="17" t="s">
        <v>1067</v>
      </c>
      <c r="B1420" s="18">
        <v>1150</v>
      </c>
      <c r="C1420" s="907"/>
      <c r="D1420" s="291"/>
    </row>
    <row r="1421" spans="1:4" ht="13.2">
      <c r="A1421" s="17" t="s">
        <v>1068</v>
      </c>
      <c r="B1421" s="18">
        <v>1150</v>
      </c>
      <c r="C1421" s="907"/>
      <c r="D1421" s="291"/>
    </row>
    <row r="1422" spans="1:4" ht="13.2">
      <c r="A1422" s="17" t="s">
        <v>1069</v>
      </c>
      <c r="B1422" s="18">
        <v>1150</v>
      </c>
      <c r="C1422" s="907"/>
      <c r="D1422" s="291"/>
    </row>
    <row r="1423" spans="1:4" ht="13.2">
      <c r="A1423" s="17" t="s">
        <v>1070</v>
      </c>
      <c r="B1423" s="18">
        <v>400</v>
      </c>
      <c r="C1423" s="907"/>
      <c r="D1423" s="291"/>
    </row>
    <row r="1424" spans="1:4" ht="13.2">
      <c r="A1424" s="17" t="s">
        <v>1071</v>
      </c>
      <c r="B1424" s="18">
        <v>400</v>
      </c>
      <c r="C1424" s="907"/>
      <c r="D1424" s="291"/>
    </row>
    <row r="1425" spans="1:4" ht="13.2">
      <c r="A1425" s="17" t="s">
        <v>1072</v>
      </c>
      <c r="B1425" s="18">
        <v>400</v>
      </c>
      <c r="C1425" s="907"/>
      <c r="D1425" s="291"/>
    </row>
    <row r="1426" spans="1:4" ht="13.2">
      <c r="A1426" s="17" t="s">
        <v>1073</v>
      </c>
      <c r="B1426" s="18">
        <v>400</v>
      </c>
      <c r="C1426" s="907"/>
      <c r="D1426" s="291"/>
    </row>
    <row r="1427" spans="1:4" ht="13.2">
      <c r="A1427" s="17" t="s">
        <v>1074</v>
      </c>
      <c r="B1427" s="18">
        <v>400</v>
      </c>
      <c r="C1427" s="907"/>
      <c r="D1427" s="291"/>
    </row>
    <row r="1428" spans="1:4" ht="13.2">
      <c r="A1428" s="17" t="s">
        <v>1075</v>
      </c>
      <c r="B1428" s="18">
        <v>400</v>
      </c>
      <c r="C1428" s="907"/>
      <c r="D1428" s="291"/>
    </row>
    <row r="1429" spans="1:4" ht="13.2">
      <c r="A1429" s="17" t="s">
        <v>1076</v>
      </c>
      <c r="B1429" s="18">
        <v>400</v>
      </c>
      <c r="C1429" s="907"/>
      <c r="D1429" s="291"/>
    </row>
    <row r="1430" spans="1:4" ht="13.2">
      <c r="A1430" s="17" t="s">
        <v>1077</v>
      </c>
      <c r="B1430" s="18">
        <v>400</v>
      </c>
      <c r="C1430" s="907"/>
      <c r="D1430" s="291"/>
    </row>
    <row r="1431" spans="1:4" ht="13.2">
      <c r="A1431" s="17" t="s">
        <v>1078</v>
      </c>
      <c r="B1431" s="18">
        <v>400</v>
      </c>
      <c r="C1431" s="907"/>
      <c r="D1431" s="291"/>
    </row>
    <row r="1432" spans="1:4" ht="13.2">
      <c r="A1432" s="17" t="s">
        <v>1079</v>
      </c>
      <c r="B1432" s="18">
        <v>400</v>
      </c>
      <c r="C1432" s="907"/>
      <c r="D1432" s="291"/>
    </row>
    <row r="1433" spans="1:4" ht="13.2">
      <c r="A1433" s="17" t="s">
        <v>1080</v>
      </c>
      <c r="B1433" s="18">
        <v>400</v>
      </c>
      <c r="C1433" s="907"/>
      <c r="D1433" s="291"/>
    </row>
    <row r="1434" spans="1:4" ht="13.2">
      <c r="A1434" s="17" t="s">
        <v>1081</v>
      </c>
      <c r="B1434" s="18">
        <v>400</v>
      </c>
      <c r="C1434" s="907"/>
      <c r="D1434" s="291"/>
    </row>
    <row r="1435" spans="1:4" ht="13.2">
      <c r="A1435" s="17" t="s">
        <v>1082</v>
      </c>
      <c r="B1435" s="18">
        <v>400</v>
      </c>
      <c r="C1435" s="907"/>
      <c r="D1435" s="291"/>
    </row>
    <row r="1436" spans="1:4" ht="13.2">
      <c r="A1436" s="17" t="s">
        <v>1083</v>
      </c>
      <c r="B1436" s="18">
        <v>400</v>
      </c>
      <c r="C1436" s="907"/>
      <c r="D1436" s="291"/>
    </row>
    <row r="1437" spans="1:4" ht="13.2">
      <c r="A1437" s="17" t="s">
        <v>1084</v>
      </c>
      <c r="B1437" s="18">
        <v>400</v>
      </c>
      <c r="C1437" s="907"/>
      <c r="D1437" s="291"/>
    </row>
    <row r="1438" spans="1:4" ht="13.2">
      <c r="A1438" s="17" t="s">
        <v>1085</v>
      </c>
      <c r="B1438" s="18">
        <v>400</v>
      </c>
      <c r="C1438" s="907"/>
      <c r="D1438" s="291"/>
    </row>
    <row r="1439" spans="1:4" ht="13.2">
      <c r="A1439" s="17" t="s">
        <v>1086</v>
      </c>
      <c r="B1439" s="18">
        <v>600</v>
      </c>
      <c r="C1439" s="907"/>
      <c r="D1439" s="291"/>
    </row>
    <row r="1440" spans="1:4" ht="13.2">
      <c r="A1440" s="17" t="s">
        <v>1087</v>
      </c>
      <c r="B1440" s="18">
        <v>600</v>
      </c>
      <c r="C1440" s="907"/>
      <c r="D1440" s="291"/>
    </row>
    <row r="1441" spans="1:4" ht="13.2">
      <c r="A1441" s="17" t="s">
        <v>1088</v>
      </c>
      <c r="B1441" s="18">
        <v>600</v>
      </c>
      <c r="C1441" s="907"/>
      <c r="D1441" s="291"/>
    </row>
    <row r="1442" spans="1:4" ht="13.2">
      <c r="A1442" s="17" t="s">
        <v>1089</v>
      </c>
      <c r="B1442" s="18">
        <v>600</v>
      </c>
      <c r="C1442" s="907"/>
      <c r="D1442" s="291"/>
    </row>
    <row r="1443" spans="1:4" ht="13.2">
      <c r="A1443" s="17" t="s">
        <v>1090</v>
      </c>
      <c r="B1443" s="18">
        <v>600</v>
      </c>
      <c r="C1443" s="907"/>
      <c r="D1443" s="291"/>
    </row>
    <row r="1444" spans="1:4" ht="13.2">
      <c r="A1444" s="17" t="s">
        <v>1091</v>
      </c>
      <c r="B1444" s="18">
        <v>600</v>
      </c>
      <c r="C1444" s="907"/>
      <c r="D1444" s="291"/>
    </row>
    <row r="1445" spans="1:4" ht="13.2">
      <c r="A1445" s="17" t="s">
        <v>1092</v>
      </c>
      <c r="B1445" s="18">
        <v>600</v>
      </c>
      <c r="C1445" s="907"/>
      <c r="D1445" s="291"/>
    </row>
    <row r="1446" spans="1:4" ht="13.2">
      <c r="A1446" s="17" t="s">
        <v>1093</v>
      </c>
      <c r="B1446" s="18">
        <v>600</v>
      </c>
      <c r="C1446" s="907"/>
      <c r="D1446" s="291"/>
    </row>
    <row r="1447" spans="1:4" ht="13.2">
      <c r="A1447" s="17" t="s">
        <v>1094</v>
      </c>
      <c r="B1447" s="18">
        <v>600</v>
      </c>
      <c r="C1447" s="907"/>
      <c r="D1447" s="291"/>
    </row>
    <row r="1448" spans="1:4" ht="13.2">
      <c r="A1448" s="17" t="s">
        <v>1095</v>
      </c>
      <c r="B1448" s="18">
        <v>600</v>
      </c>
      <c r="C1448" s="907"/>
      <c r="D1448" s="291"/>
    </row>
    <row r="1449" spans="1:4" ht="13.2">
      <c r="A1449" s="17" t="s">
        <v>1096</v>
      </c>
      <c r="B1449" s="18">
        <v>600</v>
      </c>
      <c r="C1449" s="907"/>
      <c r="D1449" s="291"/>
    </row>
    <row r="1450" spans="1:4" ht="13.2">
      <c r="A1450" s="17" t="s">
        <v>1097</v>
      </c>
      <c r="B1450" s="18">
        <v>600</v>
      </c>
      <c r="C1450" s="907"/>
      <c r="D1450" s="291"/>
    </row>
    <row r="1451" spans="1:4" ht="13.2">
      <c r="A1451" s="17" t="s">
        <v>1098</v>
      </c>
      <c r="B1451" s="18">
        <v>600</v>
      </c>
      <c r="C1451" s="907"/>
      <c r="D1451" s="291"/>
    </row>
    <row r="1452" spans="1:4" ht="13.2">
      <c r="A1452" s="17" t="s">
        <v>1099</v>
      </c>
      <c r="B1452" s="18">
        <v>600</v>
      </c>
      <c r="C1452" s="907"/>
      <c r="D1452" s="291"/>
    </row>
    <row r="1453" spans="1:4" ht="13.2">
      <c r="A1453" s="17" t="s">
        <v>1100</v>
      </c>
      <c r="B1453" s="18">
        <v>600</v>
      </c>
      <c r="C1453" s="907"/>
      <c r="D1453" s="291"/>
    </row>
    <row r="1454" spans="1:4" ht="13.2">
      <c r="A1454" s="17" t="s">
        <v>1101</v>
      </c>
      <c r="B1454" s="18">
        <v>600</v>
      </c>
      <c r="C1454" s="907"/>
      <c r="D1454" s="291"/>
    </row>
    <row r="1455" spans="1:4" ht="13.2">
      <c r="A1455" s="17" t="s">
        <v>1102</v>
      </c>
      <c r="B1455" s="18">
        <v>760</v>
      </c>
      <c r="C1455" s="907"/>
      <c r="D1455" s="291"/>
    </row>
    <row r="1456" spans="1:4" ht="13.2">
      <c r="A1456" s="17" t="s">
        <v>1103</v>
      </c>
      <c r="B1456" s="18">
        <v>760</v>
      </c>
      <c r="C1456" s="907"/>
      <c r="D1456" s="291"/>
    </row>
    <row r="1457" spans="1:4" ht="13.2">
      <c r="A1457" s="17" t="s">
        <v>1104</v>
      </c>
      <c r="B1457" s="18">
        <v>760</v>
      </c>
      <c r="C1457" s="907"/>
      <c r="D1457" s="291"/>
    </row>
    <row r="1458" spans="1:4" ht="13.2">
      <c r="A1458" s="17" t="s">
        <v>1105</v>
      </c>
      <c r="B1458" s="18">
        <v>760</v>
      </c>
      <c r="C1458" s="907"/>
      <c r="D1458" s="291"/>
    </row>
    <row r="1459" spans="1:4" ht="13.2">
      <c r="A1459" s="17" t="s">
        <v>1106</v>
      </c>
      <c r="B1459" s="18">
        <v>760</v>
      </c>
      <c r="C1459" s="907"/>
      <c r="D1459" s="291"/>
    </row>
    <row r="1460" spans="1:4" ht="13.2">
      <c r="A1460" s="17" t="s">
        <v>1107</v>
      </c>
      <c r="B1460" s="18">
        <v>760</v>
      </c>
      <c r="C1460" s="907"/>
      <c r="D1460" s="291"/>
    </row>
    <row r="1461" spans="1:4" ht="13.2">
      <c r="A1461" s="17" t="s">
        <v>1108</v>
      </c>
      <c r="B1461" s="18">
        <v>760</v>
      </c>
      <c r="C1461" s="907"/>
      <c r="D1461" s="291"/>
    </row>
    <row r="1462" spans="1:4" ht="13.2">
      <c r="A1462" s="17" t="s">
        <v>1109</v>
      </c>
      <c r="B1462" s="18">
        <v>760</v>
      </c>
      <c r="C1462" s="907"/>
      <c r="D1462" s="291"/>
    </row>
    <row r="1463" spans="1:4" ht="13.2">
      <c r="A1463" s="17" t="s">
        <v>1110</v>
      </c>
      <c r="B1463" s="18">
        <v>760</v>
      </c>
      <c r="C1463" s="907"/>
      <c r="D1463" s="291"/>
    </row>
    <row r="1464" spans="1:4" ht="13.2">
      <c r="A1464" s="17" t="s">
        <v>1111</v>
      </c>
      <c r="B1464" s="18">
        <v>760</v>
      </c>
      <c r="C1464" s="907"/>
      <c r="D1464" s="291"/>
    </row>
    <row r="1465" spans="1:4" ht="13.2">
      <c r="A1465" s="17" t="s">
        <v>1112</v>
      </c>
      <c r="B1465" s="18">
        <v>760</v>
      </c>
      <c r="C1465" s="907"/>
      <c r="D1465" s="291"/>
    </row>
    <row r="1466" spans="1:4" ht="13.2">
      <c r="A1466" s="17" t="s">
        <v>1113</v>
      </c>
      <c r="B1466" s="18">
        <v>760</v>
      </c>
      <c r="C1466" s="907"/>
      <c r="D1466" s="291"/>
    </row>
    <row r="1467" spans="1:4" ht="13.2">
      <c r="A1467" s="17" t="s">
        <v>1114</v>
      </c>
      <c r="B1467" s="18">
        <v>760</v>
      </c>
      <c r="C1467" s="907"/>
      <c r="D1467" s="291"/>
    </row>
    <row r="1468" spans="1:4" ht="13.2">
      <c r="A1468" s="17" t="s">
        <v>1115</v>
      </c>
      <c r="B1468" s="18">
        <v>760</v>
      </c>
      <c r="C1468" s="907"/>
      <c r="D1468" s="291"/>
    </row>
    <row r="1469" spans="1:4" ht="13.2">
      <c r="A1469" s="17" t="s">
        <v>1116</v>
      </c>
      <c r="B1469" s="18">
        <v>760</v>
      </c>
      <c r="C1469" s="907"/>
      <c r="D1469" s="291"/>
    </row>
    <row r="1470" spans="1:4" ht="13.8" thickBot="1">
      <c r="A1470" s="23" t="s">
        <v>1117</v>
      </c>
      <c r="B1470" s="24">
        <v>760</v>
      </c>
      <c r="C1470" s="908"/>
      <c r="D1470" s="291"/>
    </row>
    <row r="1471" spans="1:4" ht="12.75" customHeight="1">
      <c r="A1471" s="16" t="s">
        <v>1118</v>
      </c>
      <c r="B1471" s="18">
        <v>1250</v>
      </c>
      <c r="C1471" s="909" t="s">
        <v>1119</v>
      </c>
      <c r="D1471" s="291"/>
    </row>
    <row r="1472" spans="1:4" ht="13.2">
      <c r="A1472" s="16" t="s">
        <v>74</v>
      </c>
      <c r="B1472" s="18">
        <v>1250</v>
      </c>
      <c r="C1472" s="910"/>
      <c r="D1472" s="291"/>
    </row>
    <row r="1473" spans="1:4" ht="13.2">
      <c r="A1473" s="16" t="s">
        <v>1120</v>
      </c>
      <c r="B1473" s="18">
        <v>1250</v>
      </c>
      <c r="C1473" s="910"/>
      <c r="D1473" s="291"/>
    </row>
    <row r="1474" spans="1:4" ht="13.2">
      <c r="A1474" s="16" t="s">
        <v>1121</v>
      </c>
      <c r="B1474" s="18">
        <v>1250</v>
      </c>
      <c r="C1474" s="910"/>
      <c r="D1474" s="291"/>
    </row>
    <row r="1475" spans="1:4" ht="13.2">
      <c r="A1475" s="16" t="s">
        <v>1122</v>
      </c>
      <c r="B1475" s="18">
        <v>1250</v>
      </c>
      <c r="C1475" s="910"/>
      <c r="D1475" s="291"/>
    </row>
    <row r="1476" spans="1:4" ht="13.2">
      <c r="A1476" s="16" t="s">
        <v>1123</v>
      </c>
      <c r="B1476" s="18">
        <v>1250</v>
      </c>
      <c r="C1476" s="910"/>
      <c r="D1476" s="291"/>
    </row>
    <row r="1477" spans="1:4" ht="13.2">
      <c r="A1477" s="16" t="s">
        <v>1262</v>
      </c>
      <c r="B1477" s="18">
        <v>1550</v>
      </c>
      <c r="C1477" s="910"/>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6" t="s">
        <v>1160</v>
      </c>
      <c r="C4" s="916" t="s">
        <v>1131</v>
      </c>
      <c r="D4" s="38" t="str">
        <f>CONCATENATE(A4,$B$4,$C$4)</f>
        <v>ABBC5000SEW</v>
      </c>
      <c r="E4" s="38" t="s">
        <v>1157</v>
      </c>
      <c r="F4" s="38">
        <v>1500</v>
      </c>
      <c r="G4" s="38">
        <v>5000</v>
      </c>
      <c r="H4" s="37" t="s">
        <v>1159</v>
      </c>
    </row>
    <row r="5" spans="1:8" ht="14.4">
      <c r="A5" s="40" t="s">
        <v>1139</v>
      </c>
      <c r="B5" s="917"/>
      <c r="C5" s="917"/>
      <c r="D5" s="41" t="str">
        <f>CONCATENATE(A5,$B$4,$C$4)</f>
        <v>KUKAC5000SEW</v>
      </c>
      <c r="E5" s="41" t="s">
        <v>1157</v>
      </c>
      <c r="F5" s="41">
        <v>1500</v>
      </c>
      <c r="G5" s="41">
        <v>5000</v>
      </c>
      <c r="H5" s="40" t="s">
        <v>1158</v>
      </c>
    </row>
    <row r="6" spans="1:8" ht="15" thickBot="1">
      <c r="A6" s="39" t="s">
        <v>1137</v>
      </c>
      <c r="B6" s="918"/>
      <c r="C6" s="917"/>
      <c r="D6" s="42" t="str">
        <f>CONCATENATE(A6,$B$4,$C$4)</f>
        <v>FanucC5000SEW</v>
      </c>
      <c r="E6" s="42" t="s">
        <v>1157</v>
      </c>
      <c r="F6" s="42">
        <v>1500</v>
      </c>
      <c r="G6" s="43">
        <v>5000</v>
      </c>
      <c r="H6" s="39" t="s">
        <v>1156</v>
      </c>
    </row>
    <row r="7" spans="1:8" ht="14.4">
      <c r="A7" s="37" t="s">
        <v>1129</v>
      </c>
      <c r="B7" s="916" t="s">
        <v>1133</v>
      </c>
      <c r="C7" s="917"/>
      <c r="D7" s="38" t="str">
        <f>CONCATENATE(A7,$B$7,$C$4)</f>
        <v>ABBC8000SEW</v>
      </c>
      <c r="E7" s="38" t="s">
        <v>1149</v>
      </c>
      <c r="F7" s="38">
        <v>1500</v>
      </c>
      <c r="G7" s="38">
        <v>8000</v>
      </c>
      <c r="H7" s="37" t="s">
        <v>1155</v>
      </c>
    </row>
    <row r="8" spans="1:8" ht="14.4">
      <c r="A8" s="40" t="s">
        <v>1139</v>
      </c>
      <c r="B8" s="917"/>
      <c r="C8" s="917"/>
      <c r="D8" s="41" t="str">
        <f>CONCATENATE(A8,$B$7,$C$4)</f>
        <v>KUKAC8000SEW</v>
      </c>
      <c r="E8" s="41" t="s">
        <v>1149</v>
      </c>
      <c r="F8" s="41">
        <v>1500</v>
      </c>
      <c r="G8" s="41">
        <v>8000</v>
      </c>
      <c r="H8" s="40" t="s">
        <v>1154</v>
      </c>
    </row>
    <row r="9" spans="1:8" ht="15" thickBot="1">
      <c r="A9" s="39" t="s">
        <v>1137</v>
      </c>
      <c r="B9" s="918"/>
      <c r="C9" s="917"/>
      <c r="D9" s="42" t="str">
        <f>CONCATENATE(A9,$B$7,$C$4)</f>
        <v>FanucC8000SEW</v>
      </c>
      <c r="E9" s="42" t="s">
        <v>1149</v>
      </c>
      <c r="F9" s="42">
        <v>1500</v>
      </c>
      <c r="G9" s="42">
        <v>8000</v>
      </c>
      <c r="H9" s="39" t="s">
        <v>1153</v>
      </c>
    </row>
    <row r="10" spans="1:8" ht="14.4">
      <c r="A10" s="37" t="s">
        <v>1129</v>
      </c>
      <c r="B10" s="916" t="s">
        <v>1152</v>
      </c>
      <c r="C10" s="917"/>
      <c r="D10" s="38" t="str">
        <f>CONCATENATE(A10,$B$10,$C$4)</f>
        <v>ABBC8000 TunnelSEW</v>
      </c>
      <c r="E10" s="38" t="s">
        <v>1149</v>
      </c>
      <c r="F10" s="38">
        <v>1500</v>
      </c>
      <c r="G10" s="38">
        <v>8000</v>
      </c>
      <c r="H10" s="37" t="s">
        <v>1151</v>
      </c>
    </row>
    <row r="11" spans="1:8" ht="14.4">
      <c r="A11" s="40" t="s">
        <v>1139</v>
      </c>
      <c r="B11" s="917"/>
      <c r="C11" s="917"/>
      <c r="D11" s="41" t="str">
        <f>CONCATENATE(A11,$B$10,$C$4)</f>
        <v>KUKAC8000 TunnelSEW</v>
      </c>
      <c r="E11" s="41" t="s">
        <v>1149</v>
      </c>
      <c r="F11" s="41">
        <v>1500</v>
      </c>
      <c r="G11" s="41">
        <v>8000</v>
      </c>
      <c r="H11" s="40" t="s">
        <v>1150</v>
      </c>
    </row>
    <row r="12" spans="1:8" ht="15" thickBot="1">
      <c r="A12" s="39" t="s">
        <v>1137</v>
      </c>
      <c r="B12" s="918"/>
      <c r="C12" s="917"/>
      <c r="D12" s="42" t="str">
        <f>CONCATENATE(A12,$B$10,$C$4)</f>
        <v>FanucC8000 TunnelSEW</v>
      </c>
      <c r="E12" s="42" t="s">
        <v>1149</v>
      </c>
      <c r="F12" s="42">
        <v>1500</v>
      </c>
      <c r="G12" s="42">
        <v>8000</v>
      </c>
      <c r="H12" s="39" t="s">
        <v>1148</v>
      </c>
    </row>
    <row r="13" spans="1:8" ht="14.4">
      <c r="A13" s="37" t="s">
        <v>1129</v>
      </c>
      <c r="B13" s="916" t="s">
        <v>1147</v>
      </c>
      <c r="C13" s="917"/>
      <c r="D13" s="38" t="str">
        <f>CONCATENATE(A13,$B$13,$C$4)</f>
        <v>ABBX100SEW</v>
      </c>
      <c r="E13" s="38" t="s">
        <v>1144</v>
      </c>
      <c r="F13" s="38">
        <v>2000</v>
      </c>
      <c r="G13" s="38">
        <v>12000</v>
      </c>
      <c r="H13" s="37" t="s">
        <v>1146</v>
      </c>
    </row>
    <row r="14" spans="1:8" ht="14.4">
      <c r="A14" s="40" t="s">
        <v>1139</v>
      </c>
      <c r="B14" s="917"/>
      <c r="C14" s="917"/>
      <c r="D14" s="41" t="str">
        <f>CONCATENATE(A14,$B$13,$C$4)</f>
        <v>KUKAX100SEW</v>
      </c>
      <c r="E14" s="41" t="s">
        <v>1144</v>
      </c>
      <c r="F14" s="41">
        <v>2000</v>
      </c>
      <c r="G14" s="41">
        <v>12000</v>
      </c>
      <c r="H14" s="40" t="s">
        <v>1145</v>
      </c>
    </row>
    <row r="15" spans="1:8" ht="15" thickBot="1">
      <c r="A15" s="39" t="s">
        <v>1137</v>
      </c>
      <c r="B15" s="918"/>
      <c r="C15" s="917"/>
      <c r="D15" s="36" t="str">
        <f>CONCATENATE(A15,$B$13,$C$4)</f>
        <v>FanucX100SEW</v>
      </c>
      <c r="E15" s="36" t="s">
        <v>1144</v>
      </c>
      <c r="F15" s="36">
        <v>2000</v>
      </c>
      <c r="G15" s="36">
        <v>12000</v>
      </c>
      <c r="H15" s="35" t="s">
        <v>1143</v>
      </c>
    </row>
    <row r="16" spans="1:8" ht="15" thickBot="1">
      <c r="A16" s="39" t="s">
        <v>1129</v>
      </c>
      <c r="B16" s="916" t="s">
        <v>1142</v>
      </c>
      <c r="C16" s="917"/>
      <c r="D16" s="39" t="str">
        <f>CONCATENATE(A16,$B$16,$C$4)</f>
        <v>ABBX120SEW</v>
      </c>
      <c r="E16" s="39" t="s">
        <v>1141</v>
      </c>
      <c r="F16" s="39">
        <v>2500</v>
      </c>
      <c r="G16" s="39">
        <v>19500</v>
      </c>
      <c r="H16" s="39" t="s">
        <v>1140</v>
      </c>
    </row>
    <row r="17" spans="1:8" ht="14.4">
      <c r="A17" s="37" t="s">
        <v>1139</v>
      </c>
      <c r="B17" s="917"/>
      <c r="C17" s="917"/>
      <c r="D17" s="38" t="str">
        <f>CONCATENATE(A17,$B$16,$C$4)</f>
        <v>KUKAX120SEW</v>
      </c>
      <c r="E17" s="38" t="s">
        <v>1136</v>
      </c>
      <c r="F17" s="38">
        <v>2500</v>
      </c>
      <c r="G17" s="38">
        <v>19500</v>
      </c>
      <c r="H17" s="37" t="s">
        <v>1138</v>
      </c>
    </row>
    <row r="18" spans="1:8" ht="15" thickBot="1">
      <c r="A18" s="35" t="s">
        <v>1137</v>
      </c>
      <c r="B18" s="918"/>
      <c r="C18" s="918"/>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LTVL_2_1340</vt:lpstr>
      <vt:lpstr>Materialliste</vt:lpstr>
      <vt:lpstr>Motordaten</vt:lpstr>
      <vt:lpstr>'Blatt 0'!Area_de_impressao</vt:lpstr>
      <vt:lpstr>'Punktplan LTVL_2_1340'!Area_de_impressao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2023-03-29T14:11:38Z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